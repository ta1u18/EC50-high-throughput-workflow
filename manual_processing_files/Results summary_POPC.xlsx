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ta1u18_soton_ac_uk/Documents/PhD work/repos/ssa_workflow_processing_code/prototyping/EC50/paper_workflow/manual/results/"/>
    </mc:Choice>
  </mc:AlternateContent>
  <xr:revisionPtr revIDLastSave="522" documentId="8_{0F69DE4C-05C7-4762-8E33-3E56BFFC60FE}" xr6:coauthVersionLast="47" xr6:coauthVersionMax="47" xr10:uidLastSave="{BEC2C92E-F974-4F38-A5B5-558141CBA371}"/>
  <bookViews>
    <workbookView minimized="1" xWindow="-21615" yWindow="1155" windowWidth="21600" windowHeight="11295" xr2:uid="{C313D4E8-5FC3-46EB-8CF5-17465BC23609}"/>
  </bookViews>
  <sheets>
    <sheet name="Plate 1" sheetId="1" r:id="rId1"/>
    <sheet name="Plate 2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C34" i="1"/>
  <c r="C36" i="1"/>
  <c r="V32" i="11"/>
  <c r="C34" i="11"/>
  <c r="J6" i="11"/>
  <c r="J7" i="11" s="1"/>
  <c r="J8" i="11" s="1"/>
  <c r="J9" i="11" s="1"/>
  <c r="J10" i="11" s="1"/>
  <c r="J11" i="11" s="1"/>
  <c r="F6" i="11"/>
  <c r="F7" i="11" s="1"/>
  <c r="F8" i="11" s="1"/>
  <c r="F9" i="11" s="1"/>
  <c r="F10" i="11" s="1"/>
  <c r="F11" i="11" s="1"/>
  <c r="B6" i="11"/>
  <c r="B7" i="11" s="1"/>
  <c r="B8" i="11" s="1"/>
  <c r="B9" i="11" s="1"/>
  <c r="B10" i="11" s="1"/>
  <c r="B11" i="11" s="1"/>
  <c r="CS21" i="11"/>
  <c r="M32" i="11" s="1"/>
  <c r="CR21" i="11"/>
  <c r="L32" i="11" s="1"/>
  <c r="CQ21" i="11"/>
  <c r="K32" i="11" s="1"/>
  <c r="CP21" i="11"/>
  <c r="J32" i="11" s="1"/>
  <c r="CO21" i="11"/>
  <c r="I32" i="11" s="1"/>
  <c r="CN21" i="11"/>
  <c r="H32" i="11" s="1"/>
  <c r="CM21" i="11"/>
  <c r="G32" i="11" s="1"/>
  <c r="CL21" i="11"/>
  <c r="F32" i="11" s="1"/>
  <c r="CK21" i="11"/>
  <c r="E32" i="11" s="1"/>
  <c r="CJ21" i="11"/>
  <c r="D32" i="11" s="1"/>
  <c r="CI21" i="11"/>
  <c r="C32" i="11" s="1"/>
  <c r="CH21" i="11"/>
  <c r="B32" i="11" s="1"/>
  <c r="CG21" i="11"/>
  <c r="M31" i="11" s="1"/>
  <c r="CF21" i="11"/>
  <c r="L31" i="11" s="1"/>
  <c r="CE21" i="11"/>
  <c r="K31" i="11" s="1"/>
  <c r="CD21" i="11"/>
  <c r="J31" i="11" s="1"/>
  <c r="CC21" i="11"/>
  <c r="I31" i="11" s="1"/>
  <c r="CB21" i="11"/>
  <c r="H31" i="11" s="1"/>
  <c r="CA21" i="11"/>
  <c r="G31" i="11" s="1"/>
  <c r="BZ21" i="11"/>
  <c r="F31" i="11" s="1"/>
  <c r="BY21" i="11"/>
  <c r="E31" i="11" s="1"/>
  <c r="BX21" i="11"/>
  <c r="D31" i="11" s="1"/>
  <c r="BW21" i="11"/>
  <c r="C31" i="11" s="1"/>
  <c r="BV21" i="11"/>
  <c r="B31" i="11" s="1"/>
  <c r="BU21" i="11"/>
  <c r="M30" i="11" s="1"/>
  <c r="BT21" i="11"/>
  <c r="L30" i="11" s="1"/>
  <c r="BS21" i="11"/>
  <c r="K30" i="11" s="1"/>
  <c r="BR21" i="11"/>
  <c r="J30" i="11" s="1"/>
  <c r="BQ21" i="11"/>
  <c r="I30" i="11" s="1"/>
  <c r="BP21" i="11"/>
  <c r="H30" i="11" s="1"/>
  <c r="BO21" i="11"/>
  <c r="G30" i="11" s="1"/>
  <c r="BN21" i="11"/>
  <c r="F30" i="11" s="1"/>
  <c r="BM21" i="11"/>
  <c r="E30" i="11" s="1"/>
  <c r="BL21" i="11"/>
  <c r="D30" i="11" s="1"/>
  <c r="BK21" i="11"/>
  <c r="C30" i="11" s="1"/>
  <c r="BJ21" i="11"/>
  <c r="B30" i="11" s="1"/>
  <c r="BI21" i="11"/>
  <c r="M29" i="11" s="1"/>
  <c r="BH21" i="11"/>
  <c r="L29" i="11" s="1"/>
  <c r="BG21" i="11"/>
  <c r="K29" i="11" s="1"/>
  <c r="BF21" i="11"/>
  <c r="J29" i="11" s="1"/>
  <c r="BE21" i="11"/>
  <c r="I29" i="11" s="1"/>
  <c r="BD21" i="11"/>
  <c r="H29" i="11" s="1"/>
  <c r="BC21" i="11"/>
  <c r="G29" i="11" s="1"/>
  <c r="BB21" i="11"/>
  <c r="F29" i="11" s="1"/>
  <c r="BA21" i="11"/>
  <c r="E29" i="11" s="1"/>
  <c r="AZ21" i="11"/>
  <c r="D29" i="11" s="1"/>
  <c r="AY21" i="11"/>
  <c r="C29" i="11" s="1"/>
  <c r="AX21" i="11"/>
  <c r="B29" i="11" s="1"/>
  <c r="AW21" i="11"/>
  <c r="M28" i="11" s="1"/>
  <c r="AV21" i="11"/>
  <c r="L28" i="11" s="1"/>
  <c r="AU21" i="11"/>
  <c r="K28" i="11" s="1"/>
  <c r="AT21" i="11"/>
  <c r="J28" i="11" s="1"/>
  <c r="AS21" i="11"/>
  <c r="I28" i="11" s="1"/>
  <c r="AR21" i="11"/>
  <c r="H28" i="11" s="1"/>
  <c r="AQ21" i="11"/>
  <c r="G28" i="11" s="1"/>
  <c r="AP21" i="11"/>
  <c r="F28" i="11" s="1"/>
  <c r="AO21" i="11"/>
  <c r="E28" i="11" s="1"/>
  <c r="AN21" i="11"/>
  <c r="D28" i="11" s="1"/>
  <c r="AM21" i="11"/>
  <c r="C28" i="11" s="1"/>
  <c r="AL21" i="11"/>
  <c r="B28" i="11" s="1"/>
  <c r="AK21" i="11"/>
  <c r="M27" i="11" s="1"/>
  <c r="AJ21" i="11"/>
  <c r="L27" i="11" s="1"/>
  <c r="AI21" i="11"/>
  <c r="K27" i="11" s="1"/>
  <c r="AH21" i="11"/>
  <c r="J27" i="11" s="1"/>
  <c r="AG21" i="11"/>
  <c r="I27" i="11" s="1"/>
  <c r="AF21" i="11"/>
  <c r="H27" i="11" s="1"/>
  <c r="AE21" i="11"/>
  <c r="G27" i="11" s="1"/>
  <c r="AD21" i="11"/>
  <c r="F27" i="11" s="1"/>
  <c r="AC21" i="11"/>
  <c r="E27" i="11" s="1"/>
  <c r="AB21" i="11"/>
  <c r="D27" i="11" s="1"/>
  <c r="AA21" i="11"/>
  <c r="C27" i="11" s="1"/>
  <c r="Z21" i="11"/>
  <c r="B27" i="11" s="1"/>
  <c r="Y21" i="11"/>
  <c r="M26" i="11" s="1"/>
  <c r="X21" i="11"/>
  <c r="L26" i="11" s="1"/>
  <c r="W21" i="11"/>
  <c r="K26" i="11" s="1"/>
  <c r="V21" i="11"/>
  <c r="J26" i="11" s="1"/>
  <c r="U21" i="11"/>
  <c r="I26" i="11" s="1"/>
  <c r="T21" i="11"/>
  <c r="H26" i="11" s="1"/>
  <c r="S21" i="11"/>
  <c r="G26" i="11" s="1"/>
  <c r="R21" i="11"/>
  <c r="F26" i="11" s="1"/>
  <c r="Q21" i="11"/>
  <c r="E26" i="11" s="1"/>
  <c r="P21" i="11"/>
  <c r="D26" i="11" s="1"/>
  <c r="O21" i="11"/>
  <c r="C26" i="11" s="1"/>
  <c r="N21" i="11"/>
  <c r="B26" i="11" s="1"/>
  <c r="M21" i="11"/>
  <c r="M25" i="11" s="1"/>
  <c r="L21" i="11"/>
  <c r="L25" i="11" s="1"/>
  <c r="K21" i="11"/>
  <c r="K25" i="11" s="1"/>
  <c r="J21" i="11"/>
  <c r="J25" i="11" s="1"/>
  <c r="I21" i="11"/>
  <c r="I25" i="11" s="1"/>
  <c r="H21" i="11"/>
  <c r="H25" i="11" s="1"/>
  <c r="G21" i="11"/>
  <c r="G25" i="11" s="1"/>
  <c r="F21" i="11"/>
  <c r="F25" i="11" s="1"/>
  <c r="E21" i="11"/>
  <c r="E25" i="11" s="1"/>
  <c r="D21" i="11"/>
  <c r="D25" i="11" s="1"/>
  <c r="C21" i="11"/>
  <c r="C25" i="11" s="1"/>
  <c r="B21" i="11"/>
  <c r="B25" i="11" s="1"/>
  <c r="J5" i="1"/>
  <c r="J6" i="1" s="1"/>
  <c r="J7" i="1" s="1"/>
  <c r="J8" i="1" s="1"/>
  <c r="J9" i="1" s="1"/>
  <c r="J10" i="1" s="1"/>
  <c r="F5" i="1"/>
  <c r="F6" i="1" s="1"/>
  <c r="F7" i="1" s="1"/>
  <c r="F8" i="1" s="1"/>
  <c r="F9" i="1" s="1"/>
  <c r="F10" i="1" s="1"/>
  <c r="B5" i="1"/>
  <c r="B6" i="1" s="1"/>
  <c r="B7" i="1" s="1"/>
  <c r="B8" i="1" s="1"/>
  <c r="B9" i="1" s="1"/>
  <c r="B10" i="1" s="1"/>
  <c r="L32" i="1"/>
  <c r="M30" i="1"/>
  <c r="L26" i="1"/>
  <c r="G29" i="1"/>
  <c r="F27" i="1"/>
  <c r="I25" i="1"/>
  <c r="B21" i="1"/>
  <c r="B25" i="1" s="1"/>
  <c r="C21" i="1"/>
  <c r="C25" i="1" s="1"/>
  <c r="D21" i="1"/>
  <c r="D25" i="1" s="1"/>
  <c r="E21" i="1"/>
  <c r="E25" i="1" s="1"/>
  <c r="F21" i="1"/>
  <c r="F25" i="1" s="1"/>
  <c r="G21" i="1"/>
  <c r="G25" i="1" s="1"/>
  <c r="H21" i="1"/>
  <c r="H25" i="1" s="1"/>
  <c r="I21" i="1"/>
  <c r="J21" i="1"/>
  <c r="J25" i="1" s="1"/>
  <c r="K21" i="1"/>
  <c r="K25" i="1" s="1"/>
  <c r="L21" i="1"/>
  <c r="L25" i="1" s="1"/>
  <c r="M21" i="1"/>
  <c r="M25" i="1" s="1"/>
  <c r="N21" i="1"/>
  <c r="B26" i="1" s="1"/>
  <c r="O21" i="1"/>
  <c r="C26" i="1" s="1"/>
  <c r="P21" i="1"/>
  <c r="D26" i="1" s="1"/>
  <c r="Q21" i="1"/>
  <c r="E26" i="1" s="1"/>
  <c r="R21" i="1"/>
  <c r="F26" i="1" s="1"/>
  <c r="S21" i="1"/>
  <c r="G26" i="1" s="1"/>
  <c r="T21" i="1"/>
  <c r="H26" i="1" s="1"/>
  <c r="U21" i="1"/>
  <c r="I26" i="1" s="1"/>
  <c r="V21" i="1"/>
  <c r="J26" i="1" s="1"/>
  <c r="W21" i="1"/>
  <c r="K26" i="1" s="1"/>
  <c r="X21" i="1"/>
  <c r="Y21" i="1"/>
  <c r="M26" i="1" s="1"/>
  <c r="Z21" i="1"/>
  <c r="B27" i="1" s="1"/>
  <c r="AA21" i="1"/>
  <c r="C27" i="1" s="1"/>
  <c r="AB21" i="1"/>
  <c r="D27" i="1" s="1"/>
  <c r="AC21" i="1"/>
  <c r="E27" i="1" s="1"/>
  <c r="AD21" i="1"/>
  <c r="AE21" i="1"/>
  <c r="G27" i="1" s="1"/>
  <c r="AF21" i="1"/>
  <c r="H27" i="1" s="1"/>
  <c r="AG21" i="1"/>
  <c r="I27" i="1" s="1"/>
  <c r="AH21" i="1"/>
  <c r="J27" i="1" s="1"/>
  <c r="AI21" i="1"/>
  <c r="K27" i="1" s="1"/>
  <c r="AJ21" i="1"/>
  <c r="L27" i="1" s="1"/>
  <c r="AK21" i="1"/>
  <c r="M27" i="1" s="1"/>
  <c r="AL21" i="1"/>
  <c r="B28" i="1" s="1"/>
  <c r="AM21" i="1"/>
  <c r="C28" i="1" s="1"/>
  <c r="AN21" i="1"/>
  <c r="D28" i="1" s="1"/>
  <c r="AO21" i="1"/>
  <c r="E28" i="1" s="1"/>
  <c r="AP21" i="1"/>
  <c r="F28" i="1" s="1"/>
  <c r="AQ21" i="1"/>
  <c r="G28" i="1" s="1"/>
  <c r="AR21" i="1"/>
  <c r="H28" i="1" s="1"/>
  <c r="AS21" i="1"/>
  <c r="I28" i="1" s="1"/>
  <c r="AT21" i="1"/>
  <c r="J28" i="1" s="1"/>
  <c r="AU21" i="1"/>
  <c r="K28" i="1" s="1"/>
  <c r="AV21" i="1"/>
  <c r="L28" i="1" s="1"/>
  <c r="AW21" i="1"/>
  <c r="M28" i="1" s="1"/>
  <c r="AX21" i="1"/>
  <c r="B29" i="1" s="1"/>
  <c r="AY21" i="1"/>
  <c r="C29" i="1" s="1"/>
  <c r="AZ21" i="1"/>
  <c r="D29" i="1" s="1"/>
  <c r="BA21" i="1"/>
  <c r="E29" i="1" s="1"/>
  <c r="BB21" i="1"/>
  <c r="F29" i="1" s="1"/>
  <c r="BC21" i="1"/>
  <c r="BD21" i="1"/>
  <c r="H29" i="1" s="1"/>
  <c r="BE21" i="1"/>
  <c r="I29" i="1" s="1"/>
  <c r="BF21" i="1"/>
  <c r="J29" i="1" s="1"/>
  <c r="BG21" i="1"/>
  <c r="K29" i="1" s="1"/>
  <c r="BH21" i="1"/>
  <c r="L29" i="1" s="1"/>
  <c r="BI21" i="1"/>
  <c r="M29" i="1" s="1"/>
  <c r="BJ21" i="1"/>
  <c r="B30" i="1" s="1"/>
  <c r="BK21" i="1"/>
  <c r="C30" i="1" s="1"/>
  <c r="BL21" i="1"/>
  <c r="D30" i="1" s="1"/>
  <c r="BM21" i="1"/>
  <c r="E30" i="1" s="1"/>
  <c r="BN21" i="1"/>
  <c r="F30" i="1" s="1"/>
  <c r="BO21" i="1"/>
  <c r="G30" i="1" s="1"/>
  <c r="BP21" i="1"/>
  <c r="H30" i="1" s="1"/>
  <c r="BQ21" i="1"/>
  <c r="I30" i="1" s="1"/>
  <c r="BR21" i="1"/>
  <c r="J30" i="1" s="1"/>
  <c r="BS21" i="1"/>
  <c r="K30" i="1" s="1"/>
  <c r="BT21" i="1"/>
  <c r="L30" i="1" s="1"/>
  <c r="BU21" i="1"/>
  <c r="BV21" i="1"/>
  <c r="B31" i="1" s="1"/>
  <c r="BW21" i="1"/>
  <c r="C31" i="1" s="1"/>
  <c r="BX21" i="1"/>
  <c r="D31" i="1" s="1"/>
  <c r="BY21" i="1"/>
  <c r="E31" i="1" s="1"/>
  <c r="BZ21" i="1"/>
  <c r="F31" i="1" s="1"/>
  <c r="CA21" i="1"/>
  <c r="G31" i="1" s="1"/>
  <c r="CB21" i="1"/>
  <c r="H31" i="1" s="1"/>
  <c r="CC21" i="1"/>
  <c r="I31" i="1" s="1"/>
  <c r="CD21" i="1"/>
  <c r="J31" i="1" s="1"/>
  <c r="CE21" i="1"/>
  <c r="K31" i="1" s="1"/>
  <c r="CF21" i="1"/>
  <c r="L31" i="1" s="1"/>
  <c r="CG21" i="1"/>
  <c r="M31" i="1" s="1"/>
  <c r="CH21" i="1"/>
  <c r="B32" i="1" s="1"/>
  <c r="CI21" i="1"/>
  <c r="C32" i="1" s="1"/>
  <c r="CJ21" i="1"/>
  <c r="D32" i="1" s="1"/>
  <c r="CK21" i="1"/>
  <c r="E32" i="1" s="1"/>
  <c r="CL21" i="1"/>
  <c r="F32" i="1" s="1"/>
  <c r="CM21" i="1"/>
  <c r="G32" i="1" s="1"/>
  <c r="CN21" i="1"/>
  <c r="H32" i="1" s="1"/>
  <c r="CO21" i="1"/>
  <c r="I32" i="1" s="1"/>
  <c r="CP21" i="1"/>
  <c r="J32" i="1" s="1"/>
  <c r="CQ21" i="1"/>
  <c r="K32" i="1" s="1"/>
  <c r="CR21" i="1"/>
  <c r="CS21" i="1"/>
  <c r="M32" i="1" s="1"/>
  <c r="L45" i="1" l="1"/>
  <c r="G47" i="1"/>
  <c r="M46" i="1"/>
  <c r="G46" i="1"/>
  <c r="G45" i="1"/>
  <c r="M44" i="1"/>
  <c r="M43" i="1"/>
  <c r="M42" i="1"/>
  <c r="G42" i="1"/>
  <c r="M41" i="1"/>
  <c r="G41" i="1"/>
  <c r="I40" i="1"/>
  <c r="L46" i="1"/>
  <c r="L43" i="1"/>
  <c r="F41" i="1"/>
  <c r="F40" i="1"/>
  <c r="K47" i="1"/>
  <c r="K43" i="1"/>
  <c r="K42" i="1"/>
  <c r="K41" i="1"/>
  <c r="K40" i="1"/>
  <c r="G44" i="1"/>
  <c r="M47" i="1"/>
  <c r="F45" i="1"/>
  <c r="L42" i="1"/>
  <c r="L40" i="1"/>
  <c r="K44" i="1"/>
  <c r="J47" i="1"/>
  <c r="J45" i="1"/>
  <c r="J44" i="1"/>
  <c r="J43" i="1"/>
  <c r="J42" i="1"/>
  <c r="J41" i="1"/>
  <c r="L41" i="1"/>
  <c r="F46" i="1"/>
  <c r="F43" i="1"/>
  <c r="V31" i="1" s="1"/>
  <c r="F42" i="1"/>
  <c r="K46" i="1"/>
  <c r="I46" i="1"/>
  <c r="I45" i="1"/>
  <c r="I44" i="1"/>
  <c r="I43" i="1"/>
  <c r="I42" i="1"/>
  <c r="M45" i="1"/>
  <c r="H47" i="1"/>
  <c r="M40" i="1"/>
  <c r="J40" i="1"/>
  <c r="G40" i="1"/>
  <c r="G43" i="1"/>
  <c r="I41" i="1"/>
  <c r="J46" i="1"/>
  <c r="K45" i="1"/>
  <c r="F44" i="1"/>
  <c r="I47" i="1"/>
  <c r="L44" i="1"/>
  <c r="H46" i="1"/>
  <c r="H45" i="1"/>
  <c r="H44" i="1"/>
  <c r="H43" i="1"/>
  <c r="H42" i="1"/>
  <c r="H41" i="1"/>
  <c r="H40" i="1"/>
  <c r="L47" i="1"/>
  <c r="F47" i="1"/>
  <c r="C36" i="11"/>
  <c r="G42" i="11" s="1"/>
  <c r="B44" i="1"/>
  <c r="Y31" i="1" l="1"/>
  <c r="V30" i="1"/>
  <c r="V34" i="1"/>
  <c r="U33" i="1"/>
  <c r="V33" i="1"/>
  <c r="Y28" i="1"/>
  <c r="Y29" i="1"/>
  <c r="X30" i="1"/>
  <c r="Y30" i="1"/>
  <c r="V32" i="1"/>
  <c r="X33" i="1"/>
  <c r="Y33" i="1"/>
  <c r="V28" i="1"/>
  <c r="Y32" i="1"/>
  <c r="V29" i="1"/>
  <c r="Y34" i="1"/>
  <c r="U31" i="1"/>
  <c r="X31" i="1"/>
  <c r="U32" i="1"/>
  <c r="U34" i="1"/>
  <c r="U28" i="1"/>
  <c r="X32" i="1"/>
  <c r="X28" i="1"/>
  <c r="U29" i="1"/>
  <c r="U30" i="1"/>
  <c r="X34" i="1"/>
  <c r="X29" i="1"/>
  <c r="B41" i="11"/>
  <c r="G46" i="11"/>
  <c r="G40" i="11"/>
  <c r="L42" i="11"/>
  <c r="K44" i="11"/>
  <c r="J46" i="11"/>
  <c r="C43" i="11"/>
  <c r="H43" i="11"/>
  <c r="H40" i="11"/>
  <c r="M42" i="11"/>
  <c r="L47" i="11"/>
  <c r="F42" i="11"/>
  <c r="E44" i="11"/>
  <c r="D46" i="11"/>
  <c r="D43" i="11"/>
  <c r="D40" i="11"/>
  <c r="C44" i="11"/>
  <c r="B43" i="11"/>
  <c r="G45" i="11"/>
  <c r="L44" i="11"/>
  <c r="L41" i="11"/>
  <c r="K46" i="11"/>
  <c r="K43" i="11"/>
  <c r="K40" i="11"/>
  <c r="J45" i="11"/>
  <c r="J42" i="11"/>
  <c r="I47" i="11"/>
  <c r="I43" i="11"/>
  <c r="C41" i="11"/>
  <c r="C47" i="11"/>
  <c r="H45" i="11"/>
  <c r="H42" i="11"/>
  <c r="M47" i="11"/>
  <c r="M44" i="11"/>
  <c r="M41" i="11"/>
  <c r="F47" i="11"/>
  <c r="F44" i="11"/>
  <c r="F41" i="11"/>
  <c r="E46" i="11"/>
  <c r="E43" i="11"/>
  <c r="E40" i="11"/>
  <c r="D45" i="11"/>
  <c r="D42" i="11"/>
  <c r="I46" i="11"/>
  <c r="I42" i="11"/>
  <c r="I40" i="11"/>
  <c r="H47" i="11"/>
  <c r="B45" i="11"/>
  <c r="B42" i="11"/>
  <c r="G47" i="11"/>
  <c r="G44" i="11"/>
  <c r="G41" i="11"/>
  <c r="L46" i="11"/>
  <c r="L43" i="11"/>
  <c r="L40" i="11"/>
  <c r="K45" i="11"/>
  <c r="K42" i="11"/>
  <c r="J47" i="11"/>
  <c r="J44" i="11"/>
  <c r="J41" i="11"/>
  <c r="C46" i="11"/>
  <c r="I41" i="11"/>
  <c r="C40" i="11"/>
  <c r="B47" i="11"/>
  <c r="H44" i="11"/>
  <c r="H41" i="11"/>
  <c r="M46" i="11"/>
  <c r="M43" i="11"/>
  <c r="M40" i="11"/>
  <c r="F46" i="11"/>
  <c r="F43" i="11"/>
  <c r="F40" i="11"/>
  <c r="E45" i="11"/>
  <c r="E42" i="11"/>
  <c r="D47" i="11"/>
  <c r="D44" i="11"/>
  <c r="D41" i="11"/>
  <c r="I45" i="11"/>
  <c r="C42" i="11"/>
  <c r="B44" i="11"/>
  <c r="G43" i="11"/>
  <c r="L45" i="11"/>
  <c r="K47" i="11"/>
  <c r="K41" i="11"/>
  <c r="J43" i="11"/>
  <c r="J40" i="11"/>
  <c r="C45" i="11"/>
  <c r="H46" i="11"/>
  <c r="M45" i="11"/>
  <c r="F45" i="11"/>
  <c r="E47" i="11"/>
  <c r="E41" i="11"/>
  <c r="I44" i="11"/>
  <c r="B46" i="11"/>
  <c r="B40" i="11"/>
  <c r="E40" i="1"/>
  <c r="E41" i="1"/>
  <c r="E47" i="1"/>
  <c r="B47" i="1"/>
  <c r="C44" i="1"/>
  <c r="D41" i="1"/>
  <c r="D44" i="1"/>
  <c r="D47" i="1"/>
  <c r="B42" i="1"/>
  <c r="B46" i="1"/>
  <c r="C40" i="1"/>
  <c r="E44" i="1"/>
  <c r="C41" i="1"/>
  <c r="C45" i="1"/>
  <c r="D42" i="1"/>
  <c r="D45" i="1"/>
  <c r="E42" i="1"/>
  <c r="C43" i="1"/>
  <c r="B43" i="1"/>
  <c r="C46" i="1"/>
  <c r="C42" i="1"/>
  <c r="C47" i="1"/>
  <c r="D40" i="1"/>
  <c r="D43" i="1"/>
  <c r="D46" i="1"/>
  <c r="E45" i="1"/>
  <c r="E43" i="1"/>
  <c r="E46" i="1"/>
  <c r="B41" i="1"/>
  <c r="B45" i="1"/>
  <c r="W38" i="11" l="1"/>
  <c r="V38" i="11"/>
  <c r="S35" i="11"/>
  <c r="T35" i="11"/>
  <c r="Y38" i="11"/>
  <c r="Z38" i="11"/>
  <c r="V37" i="11"/>
  <c r="W37" i="11"/>
  <c r="T38" i="11"/>
  <c r="S38" i="11"/>
  <c r="Y32" i="11"/>
  <c r="Z32" i="11"/>
  <c r="V33" i="11"/>
  <c r="W33" i="11"/>
  <c r="Z34" i="11"/>
  <c r="Y34" i="11"/>
  <c r="S34" i="11"/>
  <c r="T34" i="11"/>
  <c r="V36" i="11"/>
  <c r="W36" i="11"/>
  <c r="Y37" i="11"/>
  <c r="Z37" i="11"/>
  <c r="S33" i="11"/>
  <c r="T33" i="11"/>
  <c r="Y35" i="11"/>
  <c r="Z35" i="11"/>
  <c r="W32" i="11"/>
  <c r="Z33" i="11"/>
  <c r="Y33" i="11"/>
  <c r="S37" i="11"/>
  <c r="T37" i="11"/>
  <c r="V34" i="11"/>
  <c r="W34" i="11"/>
  <c r="T36" i="11"/>
  <c r="S36" i="11"/>
  <c r="T32" i="11"/>
  <c r="S32" i="11"/>
  <c r="V35" i="11"/>
  <c r="W35" i="11"/>
  <c r="Y36" i="11"/>
  <c r="Z36" i="11"/>
  <c r="R32" i="1"/>
  <c r="S29" i="1"/>
  <c r="R29" i="1"/>
  <c r="R34" i="1"/>
  <c r="S34" i="1"/>
  <c r="S28" i="1"/>
  <c r="R28" i="1"/>
  <c r="S30" i="1"/>
  <c r="R30" i="1"/>
  <c r="S32" i="1"/>
  <c r="R33" i="1"/>
  <c r="S33" i="1"/>
  <c r="S31" i="1"/>
  <c r="R31" i="1"/>
</calcChain>
</file>

<file path=xl/sharedStrings.xml><?xml version="1.0" encoding="utf-8"?>
<sst xmlns="http://schemas.openxmlformats.org/spreadsheetml/2006/main" count="232" uniqueCount="110">
  <si>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</si>
  <si>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</si>
  <si>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</si>
  <si>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</si>
  <si>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</si>
  <si>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</si>
  <si>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</si>
  <si>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</si>
  <si>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</si>
  <si>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</si>
  <si>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</si>
  <si>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</si>
  <si>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</si>
  <si>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</si>
  <si>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</si>
  <si>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</si>
  <si>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</si>
  <si>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</si>
  <si>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</si>
  <si>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</si>
  <si>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</si>
  <si>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</si>
  <si>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</si>
  <si>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</si>
  <si>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</si>
  <si>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</si>
  <si>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</si>
  <si>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</si>
  <si>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</si>
  <si>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</si>
  <si>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</si>
  <si>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</si>
  <si>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</si>
  <si>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</si>
  <si>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</si>
  <si>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</si>
  <si>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</si>
  <si>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</si>
  <si>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</si>
  <si>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</si>
  <si>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</si>
  <si>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</si>
  <si>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</si>
  <si>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</si>
  <si>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</si>
  <si>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</si>
  <si>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</si>
  <si>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</si>
  <si>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</si>
  <si>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</si>
  <si>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</si>
  <si>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</si>
  <si>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</si>
  <si>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</si>
  <si>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</si>
  <si>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</si>
  <si>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</si>
  <si>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</si>
  <si>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</si>
  <si>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</si>
  <si>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</si>
  <si>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</si>
  <si>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</si>
  <si>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</si>
  <si>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</si>
  <si>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</si>
  <si>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</si>
  <si>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</si>
  <si>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</si>
  <si>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</si>
  <si>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</si>
  <si>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</si>
  <si>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</si>
  <si>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</si>
  <si>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</si>
  <si>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</si>
  <si>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</si>
  <si>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</si>
  <si>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</si>
  <si>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</si>
  <si>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</si>
  <si>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</si>
  <si>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</si>
  <si>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</si>
  <si>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</si>
  <si>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</si>
  <si>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</si>
  <si>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</si>
  <si>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</si>
  <si>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</si>
  <si>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</si>
  <si>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</si>
  <si>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</si>
  <si>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</si>
  <si>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</si>
  <si>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</si>
  <si>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</si>
  <si>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Ratio</t>
  </si>
  <si>
    <t>AT5</t>
  </si>
  <si>
    <t>Positive controls</t>
  </si>
  <si>
    <t>Negative controls</t>
  </si>
  <si>
    <t>Ratios</t>
  </si>
  <si>
    <t>Percentages</t>
  </si>
  <si>
    <t>56/57</t>
  </si>
  <si>
    <t>95:5 H2O/ EtOH</t>
  </si>
  <si>
    <t>Triton</t>
  </si>
  <si>
    <t>72/73</t>
  </si>
  <si>
    <t>Concentration</t>
  </si>
  <si>
    <t>% influx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</si>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</sst>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FEC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2" fillId="0" borderId="4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46" fontId="2" fillId="0" borderId="4" xfId="0" applyNumberFormat="1" applyFont="1" applyBorder="1"/>
    <xf numFmtId="0" fontId="2" fillId="0" borderId="6" xfId="0" applyFont="1" applyBorder="1"/>
    <xf numFmtId="0" fontId="0" fillId="7" borderId="0" xfId="0" applyFill="1"/>
    <xf numFmtId="0" fontId="1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4" fillId="4" borderId="8" xfId="0" applyFont="1" applyFill="1" applyBorder="1"/>
    <xf numFmtId="0" fontId="5" fillId="4" borderId="8" xfId="0" applyFont="1" applyFill="1" applyBorder="1"/>
    <xf numFmtId="0" fontId="4" fillId="6" borderId="8" xfId="0" applyFont="1" applyFill="1" applyBorder="1"/>
    <xf numFmtId="0" fontId="6" fillId="6" borderId="8" xfId="0" applyFont="1" applyFill="1" applyBorder="1"/>
    <xf numFmtId="0" fontId="4" fillId="8" borderId="8" xfId="0" applyFont="1" applyFill="1" applyBorder="1"/>
    <xf numFmtId="0" fontId="6" fillId="8" borderId="8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46" fontId="2" fillId="0" borderId="0" xfId="0" applyNumberFormat="1" applyFont="1"/>
    <xf numFmtId="0" fontId="7" fillId="2" borderId="0" xfId="0" applyFont="1" applyFill="1"/>
    <xf numFmtId="0" fontId="8" fillId="0" borderId="0" xfId="0" applyFont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6F79-4C3C-4325-8036-AF8F33A2D48E}">
  <dimension ref="A1:CS47"/>
  <sheetViews>
    <sheetView tabSelected="1" topLeftCell="A24" workbookViewId="0">
      <selection activeCell="C34" sqref="C34"/>
    </sheetView>
  </sheetViews>
  <sheetFormatPr defaultRowHeight="15" x14ac:dyDescent="0.25"/>
  <sheetData>
    <row r="1" spans="1:14" ht="15.75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5.75" thickBot="1" x14ac:dyDescent="0.3">
      <c r="B2" s="26">
        <v>56</v>
      </c>
      <c r="C2" s="26"/>
      <c r="D2" s="26"/>
      <c r="E2" s="26"/>
      <c r="F2" s="26">
        <v>57</v>
      </c>
      <c r="G2" s="26"/>
      <c r="H2" s="26"/>
      <c r="I2" s="26"/>
      <c r="J2" s="26" t="s">
        <v>103</v>
      </c>
      <c r="K2" s="26"/>
      <c r="L2" s="26"/>
      <c r="M2" s="26"/>
    </row>
    <row r="3" spans="1:14" ht="15.75" x14ac:dyDescent="0.25">
      <c r="B3" s="10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2">
        <v>12</v>
      </c>
    </row>
    <row r="4" spans="1:14" ht="15.75" x14ac:dyDescent="0.25">
      <c r="B4" s="13">
        <v>30</v>
      </c>
      <c r="C4" s="14"/>
      <c r="D4" s="14"/>
      <c r="E4" s="14"/>
      <c r="F4" s="15">
        <v>30</v>
      </c>
      <c r="G4" s="16"/>
      <c r="H4" s="16"/>
      <c r="I4" s="16"/>
      <c r="J4" s="17">
        <v>30</v>
      </c>
      <c r="K4" s="18"/>
      <c r="L4" s="18"/>
      <c r="M4" s="18"/>
    </row>
    <row r="5" spans="1:14" ht="15.75" x14ac:dyDescent="0.25">
      <c r="B5" s="13">
        <f>B4*2/3</f>
        <v>20</v>
      </c>
      <c r="C5" s="14"/>
      <c r="D5" s="14"/>
      <c r="E5" s="14"/>
      <c r="F5" s="15">
        <f>F4*2/3</f>
        <v>20</v>
      </c>
      <c r="G5" s="16"/>
      <c r="H5" s="16"/>
      <c r="I5" s="16"/>
      <c r="J5" s="17">
        <f>J4*2/3</f>
        <v>20</v>
      </c>
      <c r="K5" s="18"/>
      <c r="L5" s="18"/>
      <c r="M5" s="18"/>
    </row>
    <row r="6" spans="1:14" ht="15.75" x14ac:dyDescent="0.25">
      <c r="A6" s="21"/>
      <c r="B6" s="13">
        <f t="shared" ref="B6:B10" si="0">B5*2/3</f>
        <v>13.333333333333334</v>
      </c>
      <c r="C6" s="14"/>
      <c r="D6" s="14"/>
      <c r="E6" s="14"/>
      <c r="F6" s="15">
        <f t="shared" ref="F6:F10" si="1">F5*2/3</f>
        <v>13.333333333333334</v>
      </c>
      <c r="G6" s="16"/>
      <c r="H6" s="16"/>
      <c r="I6" s="16"/>
      <c r="J6" s="17">
        <f t="shared" ref="J6:J10" si="2">J5*2/3</f>
        <v>13.333333333333334</v>
      </c>
      <c r="K6" s="18"/>
      <c r="L6" s="18"/>
      <c r="M6" s="18"/>
    </row>
    <row r="7" spans="1:14" ht="15.75" x14ac:dyDescent="0.25">
      <c r="A7" s="21"/>
      <c r="B7" s="13">
        <f t="shared" si="0"/>
        <v>8.8888888888888893</v>
      </c>
      <c r="C7" s="14"/>
      <c r="D7" s="14"/>
      <c r="E7" s="14"/>
      <c r="F7" s="15">
        <f t="shared" si="1"/>
        <v>8.8888888888888893</v>
      </c>
      <c r="G7" s="16"/>
      <c r="H7" s="16"/>
      <c r="I7" s="16"/>
      <c r="J7" s="17">
        <f t="shared" si="2"/>
        <v>8.8888888888888893</v>
      </c>
      <c r="K7" s="18"/>
      <c r="L7" s="18"/>
      <c r="M7" s="18"/>
    </row>
    <row r="8" spans="1:14" ht="15.75" x14ac:dyDescent="0.25">
      <c r="A8" s="21"/>
      <c r="B8" s="13">
        <f t="shared" si="0"/>
        <v>5.9259259259259265</v>
      </c>
      <c r="C8" s="14"/>
      <c r="D8" s="14"/>
      <c r="E8" s="14"/>
      <c r="F8" s="15">
        <f t="shared" si="1"/>
        <v>5.9259259259259265</v>
      </c>
      <c r="G8" s="16"/>
      <c r="H8" s="16"/>
      <c r="I8" s="16"/>
      <c r="J8" s="17">
        <f t="shared" si="2"/>
        <v>5.9259259259259265</v>
      </c>
      <c r="K8" s="18"/>
      <c r="L8" s="18"/>
      <c r="M8" s="18"/>
    </row>
    <row r="9" spans="1:14" ht="15.75" x14ac:dyDescent="0.25">
      <c r="A9" s="21"/>
      <c r="B9" s="13">
        <f t="shared" si="0"/>
        <v>3.9506172839506175</v>
      </c>
      <c r="C9" s="14"/>
      <c r="D9" s="14"/>
      <c r="E9" s="14"/>
      <c r="F9" s="15">
        <f t="shared" si="1"/>
        <v>3.9506172839506175</v>
      </c>
      <c r="G9" s="16"/>
      <c r="H9" s="16"/>
      <c r="I9" s="16"/>
      <c r="J9" s="17">
        <f t="shared" si="2"/>
        <v>3.9506172839506175</v>
      </c>
      <c r="K9" s="18"/>
      <c r="L9" s="18"/>
      <c r="M9" s="18"/>
    </row>
    <row r="10" spans="1:14" ht="15.75" x14ac:dyDescent="0.25">
      <c r="A10" s="21"/>
      <c r="B10" s="13">
        <f t="shared" si="0"/>
        <v>2.6337448559670782</v>
      </c>
      <c r="C10" s="14"/>
      <c r="D10" s="14"/>
      <c r="E10" s="14"/>
      <c r="F10" s="15">
        <f t="shared" si="1"/>
        <v>2.6337448559670782</v>
      </c>
      <c r="G10" s="16"/>
      <c r="H10" s="16"/>
      <c r="I10" s="16"/>
      <c r="J10" s="17">
        <f t="shared" si="2"/>
        <v>2.6337448559670782</v>
      </c>
      <c r="K10" s="18"/>
      <c r="L10" s="18"/>
      <c r="M10" s="18"/>
    </row>
    <row r="11" spans="1:14" ht="16.5" thickBot="1" x14ac:dyDescent="0.3">
      <c r="A11" s="22"/>
      <c r="B11" s="25" t="s">
        <v>104</v>
      </c>
      <c r="C11" s="26"/>
      <c r="D11" s="26"/>
      <c r="E11" s="26"/>
      <c r="F11" s="26" t="s">
        <v>98</v>
      </c>
      <c r="G11" s="26"/>
      <c r="H11" s="26"/>
      <c r="I11" s="26"/>
      <c r="J11" s="26" t="s">
        <v>105</v>
      </c>
      <c r="K11" s="26"/>
      <c r="L11" s="26"/>
      <c r="M11" s="27"/>
    </row>
    <row r="12" spans="1:14" ht="15.75" x14ac:dyDescent="0.25">
      <c r="A12" s="21"/>
    </row>
    <row r="18" spans="1:97" x14ac:dyDescent="0.25">
      <c r="A18" s="23" t="s">
        <v>0</v>
      </c>
      <c r="B18" s="23" t="s">
        <v>1</v>
      </c>
      <c r="C18" s="23" t="s">
        <v>2</v>
      </c>
      <c r="D18" s="23" t="s">
        <v>3</v>
      </c>
      <c r="E18" s="23" t="s">
        <v>4</v>
      </c>
      <c r="F18" s="23" t="s">
        <v>5</v>
      </c>
      <c r="G18" s="23" t="s">
        <v>6</v>
      </c>
      <c r="H18" s="23" t="s">
        <v>7</v>
      </c>
      <c r="I18" s="23" t="s">
        <v>8</v>
      </c>
      <c r="J18" s="23" t="s">
        <v>9</v>
      </c>
      <c r="K18" s="23" t="s">
        <v>10</v>
      </c>
      <c r="L18" s="23" t="s">
        <v>11</v>
      </c>
      <c r="M18" s="23" t="s">
        <v>12</v>
      </c>
      <c r="N18" s="23" t="s">
        <v>13</v>
      </c>
      <c r="O18" s="23" t="s">
        <v>14</v>
      </c>
      <c r="P18" s="23" t="s">
        <v>15</v>
      </c>
      <c r="Q18" s="23" t="s">
        <v>16</v>
      </c>
      <c r="R18" s="23" t="s">
        <v>17</v>
      </c>
      <c r="S18" s="23" t="s">
        <v>18</v>
      </c>
      <c r="T18" s="23" t="s">
        <v>19</v>
      </c>
      <c r="U18" s="23" t="s">
        <v>20</v>
      </c>
      <c r="V18" s="23" t="s">
        <v>21</v>
      </c>
      <c r="W18" s="23" t="s">
        <v>22</v>
      </c>
      <c r="X18" s="23" t="s">
        <v>23</v>
      </c>
      <c r="Y18" s="23" t="s">
        <v>24</v>
      </c>
      <c r="Z18" s="23" t="s">
        <v>25</v>
      </c>
      <c r="AA18" s="23" t="s">
        <v>26</v>
      </c>
      <c r="AB18" s="23" t="s">
        <v>27</v>
      </c>
      <c r="AC18" s="23" t="s">
        <v>28</v>
      </c>
      <c r="AD18" s="23" t="s">
        <v>29</v>
      </c>
      <c r="AE18" s="23" t="s">
        <v>30</v>
      </c>
      <c r="AF18" s="23" t="s">
        <v>31</v>
      </c>
      <c r="AG18" s="23" t="s">
        <v>32</v>
      </c>
      <c r="AH18" s="23" t="s">
        <v>33</v>
      </c>
      <c r="AI18" s="23" t="s">
        <v>34</v>
      </c>
      <c r="AJ18" s="23" t="s">
        <v>35</v>
      </c>
      <c r="AK18" s="23" t="s">
        <v>36</v>
      </c>
      <c r="AL18" s="23" t="s">
        <v>37</v>
      </c>
      <c r="AM18" s="23" t="s">
        <v>38</v>
      </c>
      <c r="AN18" s="23" t="s">
        <v>39</v>
      </c>
      <c r="AO18" s="23" t="s">
        <v>40</v>
      </c>
      <c r="AP18" s="23" t="s">
        <v>41</v>
      </c>
      <c r="AQ18" s="23" t="s">
        <v>42</v>
      </c>
      <c r="AR18" s="23" t="s">
        <v>43</v>
      </c>
      <c r="AS18" s="23" t="s">
        <v>44</v>
      </c>
      <c r="AT18" s="23" t="s">
        <v>45</v>
      </c>
      <c r="AU18" s="23" t="s">
        <v>46</v>
      </c>
      <c r="AV18" s="23" t="s">
        <v>47</v>
      </c>
      <c r="AW18" s="23" t="s">
        <v>48</v>
      </c>
      <c r="AX18" s="23" t="s">
        <v>49</v>
      </c>
      <c r="AY18" s="23" t="s">
        <v>50</v>
      </c>
      <c r="AZ18" s="23" t="s">
        <v>51</v>
      </c>
      <c r="BA18" s="23" t="s">
        <v>52</v>
      </c>
      <c r="BB18" s="23" t="s">
        <v>53</v>
      </c>
      <c r="BC18" s="23" t="s">
        <v>54</v>
      </c>
      <c r="BD18" s="23" t="s">
        <v>55</v>
      </c>
      <c r="BE18" s="23" t="s">
        <v>56</v>
      </c>
      <c r="BF18" s="23" t="s">
        <v>57</v>
      </c>
      <c r="BG18" s="23" t="s">
        <v>58</v>
      </c>
      <c r="BH18" s="23" t="s">
        <v>59</v>
      </c>
      <c r="BI18" s="23" t="s">
        <v>60</v>
      </c>
      <c r="BJ18" s="23" t="s">
        <v>61</v>
      </c>
      <c r="BK18" s="23" t="s">
        <v>62</v>
      </c>
      <c r="BL18" s="23" t="s">
        <v>63</v>
      </c>
      <c r="BM18" s="23" t="s">
        <v>64</v>
      </c>
      <c r="BN18" s="23" t="s">
        <v>65</v>
      </c>
      <c r="BO18" s="23" t="s">
        <v>66</v>
      </c>
      <c r="BP18" s="23" t="s">
        <v>67</v>
      </c>
      <c r="BQ18" s="23" t="s">
        <v>68</v>
      </c>
      <c r="BR18" s="23" t="s">
        <v>69</v>
      </c>
      <c r="BS18" s="23" t="s">
        <v>70</v>
      </c>
      <c r="BT18" s="23" t="s">
        <v>71</v>
      </c>
      <c r="BU18" s="23" t="s">
        <v>72</v>
      </c>
      <c r="BV18" s="23" t="s">
        <v>73</v>
      </c>
      <c r="BW18" s="23" t="s">
        <v>74</v>
      </c>
      <c r="BX18" s="23" t="s">
        <v>75</v>
      </c>
      <c r="BY18" s="23" t="s">
        <v>76</v>
      </c>
      <c r="BZ18" s="23" t="s">
        <v>77</v>
      </c>
      <c r="CA18" s="23" t="s">
        <v>78</v>
      </c>
      <c r="CB18" s="23" t="s">
        <v>79</v>
      </c>
      <c r="CC18" s="23" t="s">
        <v>80</v>
      </c>
      <c r="CD18" s="23" t="s">
        <v>81</v>
      </c>
      <c r="CE18" s="23" t="s">
        <v>82</v>
      </c>
      <c r="CF18" s="23" t="s">
        <v>83</v>
      </c>
      <c r="CG18" s="23" t="s">
        <v>84</v>
      </c>
      <c r="CH18" s="23" t="s">
        <v>85</v>
      </c>
      <c r="CI18" s="23" t="s">
        <v>86</v>
      </c>
      <c r="CJ18" s="23" t="s">
        <v>87</v>
      </c>
      <c r="CK18" s="23" t="s">
        <v>88</v>
      </c>
      <c r="CL18" s="23" t="s">
        <v>89</v>
      </c>
      <c r="CM18" s="23" t="s">
        <v>90</v>
      </c>
      <c r="CN18" s="23" t="s">
        <v>91</v>
      </c>
      <c r="CO18" s="23" t="s">
        <v>92</v>
      </c>
      <c r="CP18" s="23" t="s">
        <v>93</v>
      </c>
      <c r="CQ18" s="23" t="s">
        <v>94</v>
      </c>
      <c r="CR18" s="23" t="s">
        <v>95</v>
      </c>
      <c r="CS18" s="23" t="s">
        <v>96</v>
      </c>
    </row>
    <row r="19" spans="1:97" x14ac:dyDescent="0.25">
      <c r="A19" s="23">
        <v>403</v>
      </c>
      <c r="B19" s="24">
        <v>249227</v>
      </c>
      <c r="C19" s="24">
        <v>246752</v>
      </c>
      <c r="D19" s="24">
        <v>253563</v>
      </c>
      <c r="E19" s="24">
        <v>250674</v>
      </c>
      <c r="F19" s="24">
        <v>230619</v>
      </c>
      <c r="G19" s="24">
        <v>220388</v>
      </c>
      <c r="H19" s="24">
        <v>221872</v>
      </c>
      <c r="I19" s="24">
        <v>221302</v>
      </c>
      <c r="J19" s="24">
        <v>219191</v>
      </c>
      <c r="K19" s="24">
        <v>250175</v>
      </c>
      <c r="L19" s="24">
        <v>242495</v>
      </c>
      <c r="M19" s="24">
        <v>247738</v>
      </c>
      <c r="N19" s="24">
        <v>259277</v>
      </c>
      <c r="O19" s="24">
        <v>258254</v>
      </c>
      <c r="P19" s="24">
        <v>259502</v>
      </c>
      <c r="Q19" s="24">
        <v>261836</v>
      </c>
      <c r="R19" s="24">
        <v>247480</v>
      </c>
      <c r="S19" s="24">
        <v>249359</v>
      </c>
      <c r="T19" s="24">
        <v>246268</v>
      </c>
      <c r="U19" s="24">
        <v>251088</v>
      </c>
      <c r="V19" s="24">
        <v>257578</v>
      </c>
      <c r="W19" s="24">
        <v>264351</v>
      </c>
      <c r="X19" s="24">
        <v>263505</v>
      </c>
      <c r="Y19" s="24">
        <v>273813</v>
      </c>
      <c r="Z19" s="24">
        <v>271291</v>
      </c>
      <c r="AA19" s="24">
        <v>268572</v>
      </c>
      <c r="AB19" s="24">
        <v>270884</v>
      </c>
      <c r="AC19" s="24">
        <v>273901</v>
      </c>
      <c r="AD19" s="24">
        <v>248890</v>
      </c>
      <c r="AE19" s="24">
        <v>263590</v>
      </c>
      <c r="AF19" s="24">
        <v>258673</v>
      </c>
      <c r="AG19" s="24">
        <v>266361</v>
      </c>
      <c r="AH19" s="24">
        <v>275740</v>
      </c>
      <c r="AI19" s="24">
        <v>276058</v>
      </c>
      <c r="AJ19" s="24">
        <v>272326</v>
      </c>
      <c r="AK19" s="24">
        <v>279690</v>
      </c>
      <c r="AL19" s="24">
        <v>273016</v>
      </c>
      <c r="AM19" s="24">
        <v>273242</v>
      </c>
      <c r="AN19" s="24">
        <v>282260</v>
      </c>
      <c r="AO19" s="24">
        <v>280969</v>
      </c>
      <c r="AP19" s="24">
        <v>269638</v>
      </c>
      <c r="AQ19" s="24">
        <v>272541</v>
      </c>
      <c r="AR19" s="24">
        <v>272507</v>
      </c>
      <c r="AS19" s="24">
        <v>276628</v>
      </c>
      <c r="AT19" s="24">
        <v>282181</v>
      </c>
      <c r="AU19" s="24">
        <v>279588</v>
      </c>
      <c r="AV19" s="24">
        <v>275921</v>
      </c>
      <c r="AW19" s="24">
        <v>284739</v>
      </c>
      <c r="AX19" s="24">
        <v>280224</v>
      </c>
      <c r="AY19" s="24">
        <v>267938</v>
      </c>
      <c r="AZ19" s="24">
        <v>284124</v>
      </c>
      <c r="BA19" s="24">
        <v>285580</v>
      </c>
      <c r="BB19" s="24">
        <v>279381</v>
      </c>
      <c r="BC19" s="24">
        <v>281400</v>
      </c>
      <c r="BD19" s="24">
        <v>279863</v>
      </c>
      <c r="BE19" s="24">
        <v>287837</v>
      </c>
      <c r="BF19" s="24">
        <v>286410</v>
      </c>
      <c r="BG19" s="24">
        <v>287559</v>
      </c>
      <c r="BH19" s="24">
        <v>282832</v>
      </c>
      <c r="BI19" s="24">
        <v>286324</v>
      </c>
      <c r="BJ19" s="24">
        <v>285548</v>
      </c>
      <c r="BK19" s="24">
        <v>274387</v>
      </c>
      <c r="BL19" s="24">
        <v>285040</v>
      </c>
      <c r="BM19" s="24">
        <v>286313</v>
      </c>
      <c r="BN19" s="24">
        <v>266765</v>
      </c>
      <c r="BO19" s="24">
        <v>280039</v>
      </c>
      <c r="BP19" s="24">
        <v>269790</v>
      </c>
      <c r="BQ19" s="24">
        <v>286128</v>
      </c>
      <c r="BR19" s="24">
        <v>286090</v>
      </c>
      <c r="BS19" s="24">
        <v>279022</v>
      </c>
      <c r="BT19" s="24">
        <v>290065</v>
      </c>
      <c r="BU19" s="24">
        <v>291952</v>
      </c>
      <c r="BV19" s="24">
        <v>283510</v>
      </c>
      <c r="BW19" s="24">
        <v>280704</v>
      </c>
      <c r="BX19" s="24">
        <v>282931</v>
      </c>
      <c r="BY19" s="24">
        <v>284125</v>
      </c>
      <c r="BZ19" s="24">
        <v>269019</v>
      </c>
      <c r="CA19" s="24">
        <v>278829</v>
      </c>
      <c r="CB19" s="24">
        <v>267830</v>
      </c>
      <c r="CC19" s="24">
        <v>280429</v>
      </c>
      <c r="CD19" s="24">
        <v>282056</v>
      </c>
      <c r="CE19" s="24">
        <v>280363</v>
      </c>
      <c r="CF19" s="24">
        <v>282935</v>
      </c>
      <c r="CG19" s="24">
        <v>289044</v>
      </c>
      <c r="CH19" s="24">
        <v>268228</v>
      </c>
      <c r="CI19" s="24">
        <v>263063</v>
      </c>
      <c r="CJ19" s="24">
        <v>267653</v>
      </c>
      <c r="CK19" s="24">
        <v>263982</v>
      </c>
      <c r="CL19" s="24">
        <v>142015</v>
      </c>
      <c r="CM19" s="24">
        <v>143485</v>
      </c>
      <c r="CN19" s="24">
        <v>123591</v>
      </c>
      <c r="CO19" s="24">
        <v>147871</v>
      </c>
      <c r="CP19" s="24">
        <v>142557</v>
      </c>
      <c r="CQ19" s="24">
        <v>134391</v>
      </c>
      <c r="CR19" s="24">
        <v>137164</v>
      </c>
      <c r="CS19" s="24">
        <v>132134</v>
      </c>
    </row>
    <row r="20" spans="1:97" x14ac:dyDescent="0.25">
      <c r="A20" s="23">
        <v>460</v>
      </c>
      <c r="B20" s="24">
        <v>207067</v>
      </c>
      <c r="C20" s="24">
        <v>204786</v>
      </c>
      <c r="D20" s="24">
        <v>203103</v>
      </c>
      <c r="E20" s="24">
        <v>204271</v>
      </c>
      <c r="F20" s="24">
        <v>272169</v>
      </c>
      <c r="G20" s="24">
        <v>281268</v>
      </c>
      <c r="H20" s="24">
        <v>287527</v>
      </c>
      <c r="I20" s="24">
        <v>295936</v>
      </c>
      <c r="J20" s="24">
        <v>289908</v>
      </c>
      <c r="K20" s="24">
        <v>234185</v>
      </c>
      <c r="L20" s="24">
        <v>236364</v>
      </c>
      <c r="M20" s="24">
        <v>224917</v>
      </c>
      <c r="N20" s="24">
        <v>182804</v>
      </c>
      <c r="O20" s="24">
        <v>180961</v>
      </c>
      <c r="P20" s="24">
        <v>188106</v>
      </c>
      <c r="Q20" s="24">
        <v>179079</v>
      </c>
      <c r="R20" s="24">
        <v>233142</v>
      </c>
      <c r="S20" s="24">
        <v>231431</v>
      </c>
      <c r="T20" s="24">
        <v>231098</v>
      </c>
      <c r="U20" s="24">
        <v>233427</v>
      </c>
      <c r="V20" s="24">
        <v>215818</v>
      </c>
      <c r="W20" s="24">
        <v>194035</v>
      </c>
      <c r="X20" s="24">
        <v>194016</v>
      </c>
      <c r="Y20" s="24">
        <v>195484</v>
      </c>
      <c r="Z20" s="24">
        <v>161037</v>
      </c>
      <c r="AA20" s="24">
        <v>158224</v>
      </c>
      <c r="AB20" s="24">
        <v>159813</v>
      </c>
      <c r="AC20" s="24">
        <v>158912</v>
      </c>
      <c r="AD20" s="24">
        <v>185999</v>
      </c>
      <c r="AE20" s="24">
        <v>206195</v>
      </c>
      <c r="AF20" s="24">
        <v>187481</v>
      </c>
      <c r="AG20" s="24">
        <v>195641</v>
      </c>
      <c r="AH20" s="24">
        <v>171763</v>
      </c>
      <c r="AI20" s="24">
        <v>169462</v>
      </c>
      <c r="AJ20" s="24">
        <v>170019</v>
      </c>
      <c r="AK20" s="24">
        <v>168024</v>
      </c>
      <c r="AL20" s="24">
        <v>149545</v>
      </c>
      <c r="AM20" s="24">
        <v>148628</v>
      </c>
      <c r="AN20" s="24">
        <v>149299</v>
      </c>
      <c r="AO20" s="24">
        <v>150145</v>
      </c>
      <c r="AP20" s="24">
        <v>177883</v>
      </c>
      <c r="AQ20" s="24">
        <v>185123</v>
      </c>
      <c r="AR20" s="24">
        <v>170823</v>
      </c>
      <c r="AS20" s="24">
        <v>173477</v>
      </c>
      <c r="AT20" s="24">
        <v>158558</v>
      </c>
      <c r="AU20" s="24">
        <v>153662</v>
      </c>
      <c r="AV20" s="24">
        <v>149127</v>
      </c>
      <c r="AW20" s="24">
        <v>154193</v>
      </c>
      <c r="AX20" s="24">
        <v>143331</v>
      </c>
      <c r="AY20" s="24">
        <v>147921</v>
      </c>
      <c r="AZ20" s="24">
        <v>147924</v>
      </c>
      <c r="BA20" s="24">
        <v>148913</v>
      </c>
      <c r="BB20" s="24">
        <v>164837</v>
      </c>
      <c r="BC20" s="24">
        <v>164040</v>
      </c>
      <c r="BD20" s="24">
        <v>155049</v>
      </c>
      <c r="BE20" s="24">
        <v>156273</v>
      </c>
      <c r="BF20" s="24">
        <v>148768</v>
      </c>
      <c r="BG20" s="24">
        <v>151279</v>
      </c>
      <c r="BH20" s="24">
        <v>148219</v>
      </c>
      <c r="BI20" s="24">
        <v>142375</v>
      </c>
      <c r="BJ20" s="24">
        <v>145431</v>
      </c>
      <c r="BK20" s="24">
        <v>149439</v>
      </c>
      <c r="BL20" s="24">
        <v>142802</v>
      </c>
      <c r="BM20" s="24">
        <v>145383</v>
      </c>
      <c r="BN20" s="24">
        <v>151224</v>
      </c>
      <c r="BO20" s="24">
        <v>153432</v>
      </c>
      <c r="BP20" s="24">
        <v>140988</v>
      </c>
      <c r="BQ20" s="24">
        <v>148009</v>
      </c>
      <c r="BR20" s="24">
        <v>147307</v>
      </c>
      <c r="BS20" s="24">
        <v>142130</v>
      </c>
      <c r="BT20" s="24">
        <v>144728</v>
      </c>
      <c r="BU20" s="24">
        <v>142660</v>
      </c>
      <c r="BV20" s="24">
        <v>147997</v>
      </c>
      <c r="BW20" s="24">
        <v>151947</v>
      </c>
      <c r="BX20" s="24">
        <v>145044</v>
      </c>
      <c r="BY20" s="24">
        <v>145816</v>
      </c>
      <c r="BZ20" s="24">
        <v>149269</v>
      </c>
      <c r="CA20" s="24">
        <v>151890</v>
      </c>
      <c r="CB20" s="24">
        <v>145696</v>
      </c>
      <c r="CC20" s="24">
        <v>147732</v>
      </c>
      <c r="CD20" s="24">
        <v>148258</v>
      </c>
      <c r="CE20" s="24">
        <v>149565</v>
      </c>
      <c r="CF20" s="24">
        <v>148716</v>
      </c>
      <c r="CG20" s="24">
        <v>147132</v>
      </c>
      <c r="CH20" s="24">
        <v>177114</v>
      </c>
      <c r="CI20" s="24">
        <v>175481</v>
      </c>
      <c r="CJ20" s="24">
        <v>178016</v>
      </c>
      <c r="CK20" s="24">
        <v>175772</v>
      </c>
      <c r="CL20" s="24">
        <v>452814</v>
      </c>
      <c r="CM20" s="24">
        <v>464764</v>
      </c>
      <c r="CN20" s="24">
        <v>389962</v>
      </c>
      <c r="CO20" s="24">
        <v>473465</v>
      </c>
      <c r="CP20" s="24">
        <v>445647</v>
      </c>
      <c r="CQ20" s="24">
        <v>471104</v>
      </c>
      <c r="CR20" s="24">
        <v>478420</v>
      </c>
      <c r="CS20" s="24">
        <v>484279</v>
      </c>
    </row>
    <row r="21" spans="1:97" x14ac:dyDescent="0.25">
      <c r="A21" t="s">
        <v>97</v>
      </c>
      <c r="B21">
        <f>B20/B19</f>
        <v>0.83083694784272977</v>
      </c>
      <c r="C21">
        <f t="shared" ref="C21:AB21" si="3">C20/C19</f>
        <v>0.829926403838672</v>
      </c>
      <c r="D21">
        <f t="shared" si="3"/>
        <v>0.80099620212728195</v>
      </c>
      <c r="E21">
        <f t="shared" si="3"/>
        <v>0.81488706447417758</v>
      </c>
      <c r="F21">
        <f t="shared" si="3"/>
        <v>1.1801672889050772</v>
      </c>
      <c r="G21">
        <f t="shared" si="3"/>
        <v>1.2762400856670961</v>
      </c>
      <c r="H21">
        <f t="shared" si="3"/>
        <v>1.2959138602437441</v>
      </c>
      <c r="I21">
        <f t="shared" si="3"/>
        <v>1.3372495503881574</v>
      </c>
      <c r="J21">
        <f t="shared" si="3"/>
        <v>1.3226272976536446</v>
      </c>
      <c r="K21">
        <f t="shared" si="3"/>
        <v>0.93608474068152292</v>
      </c>
      <c r="L21">
        <f t="shared" si="3"/>
        <v>0.97471700447431908</v>
      </c>
      <c r="M21">
        <f t="shared" si="3"/>
        <v>0.90788252105046463</v>
      </c>
      <c r="N21">
        <f t="shared" si="3"/>
        <v>0.70505289709461305</v>
      </c>
      <c r="O21">
        <f t="shared" si="3"/>
        <v>0.70070937913836762</v>
      </c>
      <c r="P21">
        <f t="shared" si="3"/>
        <v>0.72487302602677439</v>
      </c>
      <c r="Q21">
        <f t="shared" si="3"/>
        <v>0.68393574603950569</v>
      </c>
      <c r="R21">
        <f t="shared" si="3"/>
        <v>0.94206400517213518</v>
      </c>
      <c r="S21">
        <f t="shared" si="3"/>
        <v>0.9281036577785442</v>
      </c>
      <c r="T21">
        <f t="shared" si="3"/>
        <v>0.9384004417951175</v>
      </c>
      <c r="U21">
        <f t="shared" si="3"/>
        <v>0.92966211049512526</v>
      </c>
      <c r="V21">
        <f t="shared" si="3"/>
        <v>0.83787435262328303</v>
      </c>
      <c r="W21">
        <f t="shared" si="3"/>
        <v>0.73400516737216803</v>
      </c>
      <c r="X21">
        <f t="shared" si="3"/>
        <v>0.7362896339727899</v>
      </c>
      <c r="Y21">
        <f t="shared" si="3"/>
        <v>0.71393250137867814</v>
      </c>
      <c r="Z21">
        <f t="shared" si="3"/>
        <v>0.59359506950101548</v>
      </c>
      <c r="AA21">
        <f t="shared" si="3"/>
        <v>0.58913066142412462</v>
      </c>
      <c r="AB21">
        <f t="shared" si="3"/>
        <v>0.58996839975782989</v>
      </c>
      <c r="AC21">
        <f>AC20/AC19</f>
        <v>0.58018043015542109</v>
      </c>
      <c r="AD21">
        <f t="shared" ref="AD21" si="4">AD20/AD19</f>
        <v>0.74731407449073883</v>
      </c>
      <c r="AE21">
        <f t="shared" ref="AE21" si="5">AE20/AE19</f>
        <v>0.78225653476990786</v>
      </c>
      <c r="AF21">
        <f t="shared" ref="AF21" si="6">AF20/AF19</f>
        <v>0.72477993451191269</v>
      </c>
      <c r="AG21">
        <f t="shared" ref="AG21" si="7">AG20/AG19</f>
        <v>0.73449566565675906</v>
      </c>
      <c r="AH21">
        <f t="shared" ref="AH21" si="8">AH20/AH19</f>
        <v>0.62291651555813443</v>
      </c>
      <c r="AI21">
        <f t="shared" ref="AI21" si="9">AI20/AI19</f>
        <v>0.61386375326924048</v>
      </c>
      <c r="AJ21">
        <f t="shared" ref="AJ21" si="10">AJ20/AJ19</f>
        <v>0.62432158515896385</v>
      </c>
      <c r="AK21">
        <f t="shared" ref="AK21" si="11">AK20/AK19</f>
        <v>0.60075083127748574</v>
      </c>
      <c r="AL21">
        <f t="shared" ref="AL21" si="12">AL20/AL19</f>
        <v>0.54775178011545111</v>
      </c>
      <c r="AM21">
        <f t="shared" ref="AM21" si="13">AM20/AM19</f>
        <v>0.54394273208364752</v>
      </c>
      <c r="AN21">
        <f t="shared" ref="AN21" si="14">AN20/AN19</f>
        <v>0.52894140154467517</v>
      </c>
      <c r="AO21">
        <f>AO20/AO19</f>
        <v>0.5343827966786372</v>
      </c>
      <c r="AP21">
        <f t="shared" ref="AP21" si="15">AP20/AP19</f>
        <v>0.65971042657192236</v>
      </c>
      <c r="AQ21">
        <f t="shared" ref="AQ21" si="16">AQ20/AQ19</f>
        <v>0.6792482598948415</v>
      </c>
      <c r="AR21">
        <f t="shared" ref="AR21" si="17">AR20/AR19</f>
        <v>0.62685729173929472</v>
      </c>
      <c r="AS21">
        <f t="shared" ref="AS21" si="18">AS20/AS19</f>
        <v>0.62711294590569289</v>
      </c>
      <c r="AT21">
        <f t="shared" ref="AT21" si="19">AT20/AT19</f>
        <v>0.56190175809143772</v>
      </c>
      <c r="AU21">
        <f t="shared" ref="AU21" si="20">AU20/AU19</f>
        <v>0.54960155657610488</v>
      </c>
      <c r="AV21">
        <f t="shared" ref="AV21" si="21">AV20/AV19</f>
        <v>0.54046991711395653</v>
      </c>
      <c r="AW21">
        <f t="shared" ref="AW21" si="22">AW20/AW19</f>
        <v>0.54152399214719449</v>
      </c>
      <c r="AX21">
        <f t="shared" ref="AX21" si="23">AX20/AX19</f>
        <v>0.51148723878040425</v>
      </c>
      <c r="AY21">
        <f t="shared" ref="AY21" si="24">AY20/AY19</f>
        <v>0.55207174794168801</v>
      </c>
      <c r="AZ21">
        <f t="shared" ref="AZ21" si="25">AZ20/AZ19</f>
        <v>0.52063183680364911</v>
      </c>
      <c r="BA21">
        <f t="shared" ref="BA21" si="26">BA20/BA19</f>
        <v>0.52144057707122349</v>
      </c>
      <c r="BB21">
        <f t="shared" ref="BB21" si="27">BB20/BB19</f>
        <v>0.59000791034465483</v>
      </c>
      <c r="BC21">
        <f t="shared" ref="BC21" si="28">BC20/BC19</f>
        <v>0.58294243070362473</v>
      </c>
      <c r="BD21">
        <f t="shared" ref="BD21" si="29">BD20/BD19</f>
        <v>0.55401750142033779</v>
      </c>
      <c r="BE21">
        <f t="shared" ref="BE21" si="30">BE20/BE19</f>
        <v>0.54292186202607728</v>
      </c>
      <c r="BF21">
        <f t="shared" ref="BF21" si="31">BF20/BF19</f>
        <v>0.51942320449704971</v>
      </c>
      <c r="BG21">
        <f t="shared" ref="BG21" si="32">BG20/BG19</f>
        <v>0.52607986534937179</v>
      </c>
      <c r="BH21">
        <f>BH20/BH19</f>
        <v>0.52405314815862425</v>
      </c>
      <c r="BI21">
        <f t="shared" ref="BI21" si="33">BI20/BI19</f>
        <v>0.49725136558583982</v>
      </c>
      <c r="BJ21">
        <f t="shared" ref="BJ21" si="34">BJ20/BJ19</f>
        <v>0.50930491546079815</v>
      </c>
      <c r="BK21">
        <f t="shared" ref="BK21" si="35">BK20/BK19</f>
        <v>0.5446285720533407</v>
      </c>
      <c r="BL21">
        <f t="shared" ref="BL21" si="36">BL20/BL19</f>
        <v>0.50098933483019925</v>
      </c>
      <c r="BM21">
        <f t="shared" ref="BM21" si="37">BM20/BM19</f>
        <v>0.50777645443972153</v>
      </c>
      <c r="BN21">
        <f t="shared" ref="BN21" si="38">BN20/BN19</f>
        <v>0.56688096264502463</v>
      </c>
      <c r="BO21">
        <f t="shared" ref="BO21" si="39">BO20/BO19</f>
        <v>0.54789511460903662</v>
      </c>
      <c r="BP21">
        <f t="shared" ref="BP21" si="40">BP20/BP19</f>
        <v>0.52258423218058492</v>
      </c>
      <c r="BQ21">
        <f t="shared" ref="BQ21" si="41">BQ20/BQ19</f>
        <v>0.51728247497623436</v>
      </c>
      <c r="BR21">
        <f t="shared" ref="BR21" si="42">BR20/BR19</f>
        <v>0.51489740990597366</v>
      </c>
      <c r="BS21">
        <f t="shared" ref="BS21" si="43">BS20/BS19</f>
        <v>0.50938635663137677</v>
      </c>
      <c r="BT21">
        <f t="shared" ref="BT21" si="44">BT20/BT19</f>
        <v>0.49895023529208971</v>
      </c>
      <c r="BU21">
        <f t="shared" ref="BU21" si="45">BU20/BU19</f>
        <v>0.48864196854277414</v>
      </c>
      <c r="BV21">
        <f t="shared" ref="BV21" si="46">BV20/BV19</f>
        <v>0.52201686007548231</v>
      </c>
      <c r="BW21">
        <f t="shared" ref="BW21" si="47">BW20/BW19</f>
        <v>0.54130685704514359</v>
      </c>
      <c r="BX21">
        <f t="shared" ref="BX21" si="48">BX20/BX19</f>
        <v>0.51264796010334679</v>
      </c>
      <c r="BY21">
        <f t="shared" ref="BY21" si="49">BY20/BY19</f>
        <v>0.51321073471183454</v>
      </c>
      <c r="BZ21">
        <f t="shared" ref="BZ21" si="50">BZ20/BZ19</f>
        <v>0.55486415457644256</v>
      </c>
      <c r="CA21">
        <f t="shared" ref="CA21" si="51">CA20/CA19</f>
        <v>0.54474247657166219</v>
      </c>
      <c r="CB21">
        <f t="shared" ref="CB21" si="52">CB20/CB19</f>
        <v>0.54398685733487662</v>
      </c>
      <c r="CC21">
        <f t="shared" ref="CC21" si="53">CC20/CC19</f>
        <v>0.52680714191470923</v>
      </c>
      <c r="CD21">
        <f>CD20/CD19</f>
        <v>0.52563320758998211</v>
      </c>
      <c r="CE21">
        <f t="shared" ref="CE21" si="54">CE20/CE19</f>
        <v>0.53346910968993766</v>
      </c>
      <c r="CF21">
        <f t="shared" ref="CF21" si="55">CF20/CF19</f>
        <v>0.52561895841801121</v>
      </c>
      <c r="CG21">
        <f t="shared" ref="CG21" si="56">CG20/CG19</f>
        <v>0.50902976709428327</v>
      </c>
      <c r="CH21">
        <f t="shared" ref="CH21" si="57">CH20/CH19</f>
        <v>0.66031137688831887</v>
      </c>
      <c r="CI21">
        <f t="shared" ref="CI21" si="58">CI20/CI19</f>
        <v>0.66706834484515121</v>
      </c>
      <c r="CJ21">
        <f t="shared" ref="CJ21" si="59">CJ20/CJ19</f>
        <v>0.66509996151733775</v>
      </c>
      <c r="CK21">
        <f t="shared" ref="CK21" si="60">CK20/CK19</f>
        <v>0.6658484290595571</v>
      </c>
      <c r="CL21">
        <f t="shared" ref="CL21" si="61">CL20/CL19</f>
        <v>3.1884941731507235</v>
      </c>
      <c r="CM21">
        <f t="shared" ref="CM21" si="62">CM20/CM19</f>
        <v>3.239112102310346</v>
      </c>
      <c r="CN21">
        <f t="shared" ref="CN21" si="63">CN20/CN19</f>
        <v>3.1552621145552671</v>
      </c>
      <c r="CO21">
        <f t="shared" ref="CO21" si="64">CO20/CO19</f>
        <v>3.2018786645116353</v>
      </c>
      <c r="CP21">
        <f t="shared" ref="CP21" si="65">CP20/CP19</f>
        <v>3.1260969296491932</v>
      </c>
      <c r="CQ21">
        <f t="shared" ref="CQ21" si="66">CQ20/CQ19</f>
        <v>3.505472836722697</v>
      </c>
      <c r="CR21">
        <f t="shared" ref="CR21" si="67">CR20/CR19</f>
        <v>3.4879414423609694</v>
      </c>
      <c r="CS21">
        <f t="shared" ref="CS21" si="68">CS20/CS19</f>
        <v>3.6650597121104331</v>
      </c>
    </row>
    <row r="23" spans="1:97" x14ac:dyDescent="0.25">
      <c r="A23" s="9" t="s">
        <v>101</v>
      </c>
    </row>
    <row r="24" spans="1:97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</row>
    <row r="25" spans="1:97" ht="15.75" x14ac:dyDescent="0.25">
      <c r="A25" s="2"/>
      <c r="B25" s="3">
        <f>B21</f>
        <v>0.83083694784272977</v>
      </c>
      <c r="C25" s="3">
        <f t="shared" ref="C25:E25" si="69">C21</f>
        <v>0.829926403838672</v>
      </c>
      <c r="D25" s="3">
        <f t="shared" si="69"/>
        <v>0.80099620212728195</v>
      </c>
      <c r="E25" s="3">
        <f t="shared" si="69"/>
        <v>0.81488706447417758</v>
      </c>
      <c r="F25" s="4">
        <f>F21</f>
        <v>1.1801672889050772</v>
      </c>
      <c r="G25" s="4">
        <f t="shared" ref="G25:I25" si="70">G21</f>
        <v>1.2762400856670961</v>
      </c>
      <c r="H25" s="4">
        <f t="shared" si="70"/>
        <v>1.2959138602437441</v>
      </c>
      <c r="I25" s="4">
        <f t="shared" si="70"/>
        <v>1.3372495503881574</v>
      </c>
      <c r="J25" s="5">
        <f>J21</f>
        <v>1.3226272976536446</v>
      </c>
      <c r="K25" s="5">
        <f t="shared" ref="K25:M25" si="71">K21</f>
        <v>0.93608474068152292</v>
      </c>
      <c r="L25" s="5">
        <f t="shared" si="71"/>
        <v>0.97471700447431908</v>
      </c>
      <c r="M25" s="5">
        <f t="shared" si="71"/>
        <v>0.90788252105046463</v>
      </c>
    </row>
    <row r="26" spans="1:97" ht="15.75" x14ac:dyDescent="0.25">
      <c r="A26" s="2"/>
      <c r="B26" s="3">
        <f>N21</f>
        <v>0.70505289709461305</v>
      </c>
      <c r="C26" s="3">
        <f t="shared" ref="C26:E26" si="72">O21</f>
        <v>0.70070937913836762</v>
      </c>
      <c r="D26" s="3">
        <f t="shared" si="72"/>
        <v>0.72487302602677439</v>
      </c>
      <c r="E26" s="3">
        <f t="shared" si="72"/>
        <v>0.68393574603950569</v>
      </c>
      <c r="F26" s="4">
        <f>R21</f>
        <v>0.94206400517213518</v>
      </c>
      <c r="G26" s="4">
        <f t="shared" ref="G26:I26" si="73">S21</f>
        <v>0.9281036577785442</v>
      </c>
      <c r="H26" s="4">
        <f t="shared" si="73"/>
        <v>0.9384004417951175</v>
      </c>
      <c r="I26" s="4">
        <f t="shared" si="73"/>
        <v>0.92966211049512526</v>
      </c>
      <c r="J26" s="5">
        <f>V21</f>
        <v>0.83787435262328303</v>
      </c>
      <c r="K26" s="5">
        <f t="shared" ref="K26:M26" si="74">W21</f>
        <v>0.73400516737216803</v>
      </c>
      <c r="L26" s="5">
        <f t="shared" si="74"/>
        <v>0.7362896339727899</v>
      </c>
      <c r="M26" s="5">
        <f t="shared" si="74"/>
        <v>0.71393250137867814</v>
      </c>
      <c r="Q26">
        <v>56</v>
      </c>
      <c r="T26">
        <v>57</v>
      </c>
      <c r="W26" t="s">
        <v>103</v>
      </c>
    </row>
    <row r="27" spans="1:97" ht="15.75" x14ac:dyDescent="0.25">
      <c r="A27" s="2"/>
      <c r="B27" s="3">
        <f>Z21</f>
        <v>0.59359506950101548</v>
      </c>
      <c r="C27" s="3">
        <f t="shared" ref="C27:E27" si="75">AA21</f>
        <v>0.58913066142412462</v>
      </c>
      <c r="D27" s="3">
        <f t="shared" si="75"/>
        <v>0.58996839975782989</v>
      </c>
      <c r="E27" s="3">
        <f t="shared" si="75"/>
        <v>0.58018043015542109</v>
      </c>
      <c r="F27" s="4">
        <f>AD21</f>
        <v>0.74731407449073883</v>
      </c>
      <c r="G27" s="4">
        <f t="shared" ref="G27:I27" si="76">AE21</f>
        <v>0.78225653476990786</v>
      </c>
      <c r="H27" s="4">
        <f t="shared" si="76"/>
        <v>0.72477993451191269</v>
      </c>
      <c r="I27" s="4">
        <f t="shared" si="76"/>
        <v>0.73449566565675906</v>
      </c>
      <c r="J27" s="5">
        <f>AH21</f>
        <v>0.62291651555813443</v>
      </c>
      <c r="K27" s="5">
        <f t="shared" ref="K27:M27" si="77">AI21</f>
        <v>0.61386375326924048</v>
      </c>
      <c r="L27" s="5">
        <f t="shared" si="77"/>
        <v>0.62432158515896385</v>
      </c>
      <c r="M27" s="5">
        <f t="shared" si="77"/>
        <v>0.60075083127748574</v>
      </c>
      <c r="Q27" t="s">
        <v>107</v>
      </c>
      <c r="R27" t="s">
        <v>108</v>
      </c>
      <c r="S27" t="s">
        <v>109</v>
      </c>
      <c r="T27" t="s">
        <v>107</v>
      </c>
      <c r="U27" t="s">
        <v>108</v>
      </c>
      <c r="V27" t="s">
        <v>109</v>
      </c>
      <c r="W27" t="s">
        <v>107</v>
      </c>
      <c r="X27" t="s">
        <v>108</v>
      </c>
      <c r="Y27" t="s">
        <v>109</v>
      </c>
    </row>
    <row r="28" spans="1:97" ht="15.75" x14ac:dyDescent="0.25">
      <c r="A28" s="2"/>
      <c r="B28" s="3">
        <f>AL21</f>
        <v>0.54775178011545111</v>
      </c>
      <c r="C28" s="3">
        <f t="shared" ref="C28:E28" si="78">AM21</f>
        <v>0.54394273208364752</v>
      </c>
      <c r="D28" s="3">
        <f t="shared" si="78"/>
        <v>0.52894140154467517</v>
      </c>
      <c r="E28" s="3">
        <f t="shared" si="78"/>
        <v>0.5343827966786372</v>
      </c>
      <c r="F28" s="4">
        <f>AP21</f>
        <v>0.65971042657192236</v>
      </c>
      <c r="G28" s="4">
        <f t="shared" ref="G28:I28" si="79">AQ21</f>
        <v>0.6792482598948415</v>
      </c>
      <c r="H28" s="4">
        <f t="shared" si="79"/>
        <v>0.62685729173929472</v>
      </c>
      <c r="I28" s="4">
        <f t="shared" si="79"/>
        <v>0.62711294590569289</v>
      </c>
      <c r="J28" s="5">
        <f>AT21</f>
        <v>0.56190175809143772</v>
      </c>
      <c r="K28" s="5">
        <f t="shared" ref="K28:M28" si="80">AU21</f>
        <v>0.54960155657610488</v>
      </c>
      <c r="L28" s="5">
        <f t="shared" si="80"/>
        <v>0.54046991711395653</v>
      </c>
      <c r="M28" s="5">
        <f t="shared" si="80"/>
        <v>0.54152399214719449</v>
      </c>
      <c r="Q28">
        <v>30</v>
      </c>
      <c r="R28">
        <f>AVERAGE(B40:E40)</f>
        <v>5.818739442843297</v>
      </c>
      <c r="S28">
        <f>STDEV(B40:E40)</f>
        <v>0.53254187207400339</v>
      </c>
      <c r="T28">
        <v>30</v>
      </c>
      <c r="U28">
        <f t="shared" ref="U28:U34" si="81">AVERAGE(F40:J40)</f>
        <v>23.257607757188644</v>
      </c>
      <c r="V28">
        <f>STDEV(F40:J40)</f>
        <v>2.3279588643694198</v>
      </c>
      <c r="W28">
        <v>30</v>
      </c>
      <c r="X28">
        <f t="shared" ref="X28:X34" si="82">AVERAGE(K40:M40)</f>
        <v>10.350868882819979</v>
      </c>
      <c r="Y28">
        <f>STDEV(K40:M40)</f>
        <v>1.2629988193679933</v>
      </c>
    </row>
    <row r="29" spans="1:97" ht="15.75" x14ac:dyDescent="0.25">
      <c r="A29" s="2"/>
      <c r="B29" s="3">
        <f>AX21</f>
        <v>0.51148723878040425</v>
      </c>
      <c r="C29" s="3">
        <f t="shared" ref="C29:E29" si="83">AY21</f>
        <v>0.55207174794168801</v>
      </c>
      <c r="D29" s="3">
        <f t="shared" si="83"/>
        <v>0.52063183680364911</v>
      </c>
      <c r="E29" s="3">
        <f t="shared" si="83"/>
        <v>0.52144057707122349</v>
      </c>
      <c r="F29" s="4">
        <f>BB21</f>
        <v>0.59000791034465483</v>
      </c>
      <c r="G29" s="4">
        <f t="shared" ref="G29:I29" si="84">BC21</f>
        <v>0.58294243070362473</v>
      </c>
      <c r="H29" s="4">
        <f t="shared" si="84"/>
        <v>0.55401750142033779</v>
      </c>
      <c r="I29" s="4">
        <f t="shared" si="84"/>
        <v>0.54292186202607728</v>
      </c>
      <c r="J29" s="5">
        <f>BF21</f>
        <v>0.51942320449704971</v>
      </c>
      <c r="K29" s="5">
        <f t="shared" ref="K29:M29" si="85">BG21</f>
        <v>0.52607986534937179</v>
      </c>
      <c r="L29" s="5">
        <f t="shared" si="85"/>
        <v>0.52405314815862425</v>
      </c>
      <c r="M29" s="5">
        <f t="shared" si="85"/>
        <v>0.49725136558583982</v>
      </c>
      <c r="Q29">
        <v>20</v>
      </c>
      <c r="R29">
        <f t="shared" ref="R29:R34" si="86">AVERAGE(B41:E41)</f>
        <v>1.4703375776766221</v>
      </c>
      <c r="S29">
        <f t="shared" ref="S29:S34" si="87">STDEV(B41:E41)</f>
        <v>0.6334971999981831</v>
      </c>
      <c r="T29">
        <v>20</v>
      </c>
      <c r="U29">
        <f t="shared" si="81"/>
        <v>9.4346350940779811</v>
      </c>
      <c r="V29">
        <f t="shared" ref="V29:V34" si="88">STDEV(F41:J41)</f>
        <v>1.6423935064405843</v>
      </c>
      <c r="W29">
        <v>20</v>
      </c>
      <c r="X29">
        <f t="shared" si="82"/>
        <v>2.390053170434967</v>
      </c>
      <c r="Y29">
        <f t="shared" ref="Y29:Y34" si="89">STDEV(K41:M41)</f>
        <v>0.46306001344075948</v>
      </c>
    </row>
    <row r="30" spans="1:97" ht="15.75" x14ac:dyDescent="0.25">
      <c r="A30" s="6"/>
      <c r="B30" s="3">
        <f>BJ21</f>
        <v>0.50930491546079815</v>
      </c>
      <c r="C30" s="3">
        <f t="shared" ref="C30:E30" si="90">BK21</f>
        <v>0.5446285720533407</v>
      </c>
      <c r="D30" s="3">
        <f t="shared" si="90"/>
        <v>0.50098933483019925</v>
      </c>
      <c r="E30" s="3">
        <f t="shared" si="90"/>
        <v>0.50777645443972153</v>
      </c>
      <c r="F30" s="4">
        <f>BN21</f>
        <v>0.56688096264502463</v>
      </c>
      <c r="G30" s="4">
        <f t="shared" ref="G30:I30" si="91">BO21</f>
        <v>0.54789511460903662</v>
      </c>
      <c r="H30" s="4">
        <f t="shared" si="91"/>
        <v>0.52258423218058492</v>
      </c>
      <c r="I30" s="4">
        <f t="shared" si="91"/>
        <v>0.51728247497623436</v>
      </c>
      <c r="J30" s="5">
        <f>BR21</f>
        <v>0.51489740990597366</v>
      </c>
      <c r="K30" s="5">
        <f t="shared" ref="K30:M30" si="92">BS21</f>
        <v>0.50938635663137677</v>
      </c>
      <c r="L30" s="5">
        <f t="shared" si="92"/>
        <v>0.49895023529208971</v>
      </c>
      <c r="M30" s="5">
        <f t="shared" si="92"/>
        <v>0.48864196854277414</v>
      </c>
      <c r="Q30">
        <v>13.333333333333334</v>
      </c>
      <c r="R30">
        <f t="shared" si="86"/>
        <v>-2.8744968988290309</v>
      </c>
      <c r="S30">
        <f t="shared" si="87"/>
        <v>0.2144977918098184</v>
      </c>
      <c r="T30">
        <v>13.333333333333334</v>
      </c>
      <c r="U30">
        <f t="shared" si="81"/>
        <v>2.1746176586227994</v>
      </c>
      <c r="V30">
        <f t="shared" si="88"/>
        <v>2.246938748104983</v>
      </c>
      <c r="W30">
        <v>13.333333333333334</v>
      </c>
      <c r="X30">
        <f t="shared" si="82"/>
        <v>-1.9424693413958416</v>
      </c>
      <c r="Y30">
        <f t="shared" si="89"/>
        <v>0.44456638822604744</v>
      </c>
    </row>
    <row r="31" spans="1:97" ht="16.5" thickBot="1" x14ac:dyDescent="0.3">
      <c r="A31" s="7"/>
      <c r="B31" s="3">
        <f>BV21</f>
        <v>0.52201686007548231</v>
      </c>
      <c r="C31" s="3">
        <f t="shared" ref="C31:E31" si="93">BW21</f>
        <v>0.54130685704514359</v>
      </c>
      <c r="D31" s="3">
        <f t="shared" si="93"/>
        <v>0.51264796010334679</v>
      </c>
      <c r="E31" s="3">
        <f t="shared" si="93"/>
        <v>0.51321073471183454</v>
      </c>
      <c r="F31" s="4">
        <f>BZ21</f>
        <v>0.55486415457644256</v>
      </c>
      <c r="G31" s="4">
        <f t="shared" ref="G31:I31" si="94">CA21</f>
        <v>0.54474247657166219</v>
      </c>
      <c r="H31" s="4">
        <f t="shared" si="94"/>
        <v>0.54398685733487662</v>
      </c>
      <c r="I31" s="4">
        <f t="shared" si="94"/>
        <v>0.52680714191470923</v>
      </c>
      <c r="J31" s="5">
        <f>CD21</f>
        <v>0.52563320758998211</v>
      </c>
      <c r="K31" s="5">
        <f t="shared" ref="K31:M31" si="95">CE21</f>
        <v>0.53346910968993766</v>
      </c>
      <c r="L31" s="5">
        <f t="shared" si="95"/>
        <v>0.52561895841801121</v>
      </c>
      <c r="M31" s="5">
        <f t="shared" si="95"/>
        <v>0.50902976709428327</v>
      </c>
      <c r="Q31">
        <v>8.8888888888888893</v>
      </c>
      <c r="R31">
        <f t="shared" si="86"/>
        <v>-4.7364363842113066</v>
      </c>
      <c r="S31">
        <f t="shared" si="87"/>
        <v>0.32474203116891304</v>
      </c>
      <c r="T31">
        <v>8.8888888888888893</v>
      </c>
      <c r="U31">
        <f t="shared" si="81"/>
        <v>-1.2653809496880091</v>
      </c>
      <c r="V31">
        <f t="shared" si="88"/>
        <v>1.6790991500673791</v>
      </c>
      <c r="W31">
        <v>8.8888888888888893</v>
      </c>
      <c r="X31">
        <f t="shared" si="82"/>
        <v>-4.544066026712831</v>
      </c>
      <c r="Y31">
        <f t="shared" si="89"/>
        <v>0.18805164614838596</v>
      </c>
    </row>
    <row r="32" spans="1:97" x14ac:dyDescent="0.25">
      <c r="A32" s="1"/>
      <c r="B32" s="3">
        <f>CH21</f>
        <v>0.66031137688831887</v>
      </c>
      <c r="C32" s="3">
        <f t="shared" ref="C32:E32" si="96">CI21</f>
        <v>0.66706834484515121</v>
      </c>
      <c r="D32" s="3">
        <f t="shared" si="96"/>
        <v>0.66509996151733775</v>
      </c>
      <c r="E32" s="3">
        <f t="shared" si="96"/>
        <v>0.6658484290595571</v>
      </c>
      <c r="F32" s="4">
        <f>CL21</f>
        <v>3.1884941731507235</v>
      </c>
      <c r="G32" s="4">
        <f t="shared" ref="G32:I32" si="97">CM21</f>
        <v>3.239112102310346</v>
      </c>
      <c r="H32" s="4">
        <f t="shared" si="97"/>
        <v>3.1552621145552671</v>
      </c>
      <c r="I32" s="4">
        <f t="shared" si="97"/>
        <v>3.2018786645116353</v>
      </c>
      <c r="J32" s="5">
        <f>CP21</f>
        <v>3.1260969296491932</v>
      </c>
      <c r="K32" s="5">
        <f t="shared" ref="K32:M32" si="98">CQ21</f>
        <v>3.505472836722697</v>
      </c>
      <c r="L32" s="5">
        <f t="shared" si="98"/>
        <v>3.4879414423609694</v>
      </c>
      <c r="M32" s="5">
        <f t="shared" si="98"/>
        <v>3.6650597121104331</v>
      </c>
      <c r="Q32">
        <v>5.9259259259259265</v>
      </c>
      <c r="R32">
        <f t="shared" si="86"/>
        <v>-5.2011999079962941</v>
      </c>
      <c r="S32">
        <f t="shared" si="87"/>
        <v>0.66606615185003359</v>
      </c>
      <c r="T32">
        <v>5.9259259259259265</v>
      </c>
      <c r="U32">
        <f t="shared" si="81"/>
        <v>-4.0171700855484085</v>
      </c>
      <c r="V32">
        <f t="shared" si="88"/>
        <v>1.09388360341575</v>
      </c>
      <c r="W32">
        <v>5.9259259259259265</v>
      </c>
      <c r="X32">
        <f t="shared" si="82"/>
        <v>-5.6007002526564271</v>
      </c>
      <c r="Y32">
        <f t="shared" si="89"/>
        <v>0.60570370328906442</v>
      </c>
    </row>
    <row r="33" spans="1:25" x14ac:dyDescent="0.25">
      <c r="Q33">
        <v>3.9506172839506175</v>
      </c>
      <c r="R33">
        <f t="shared" si="86"/>
        <v>-5.6052163490088098</v>
      </c>
      <c r="S33">
        <f t="shared" si="87"/>
        <v>0.73921714076658573</v>
      </c>
      <c r="T33">
        <v>3.9506172839506175</v>
      </c>
      <c r="U33">
        <f t="shared" si="81"/>
        <v>-4.9188752259553805</v>
      </c>
      <c r="V33">
        <f t="shared" si="88"/>
        <v>0.85193488863765909</v>
      </c>
      <c r="W33">
        <v>3.9506172839506175</v>
      </c>
      <c r="X33">
        <f t="shared" si="82"/>
        <v>-6.2331646371964338</v>
      </c>
      <c r="Y33">
        <f t="shared" si="89"/>
        <v>0.39043616590833879</v>
      </c>
    </row>
    <row r="34" spans="1:25" x14ac:dyDescent="0.25">
      <c r="A34" t="s">
        <v>99</v>
      </c>
      <c r="C34" s="3">
        <f>AVERAGE(F32:M32)</f>
        <v>3.3211647469214083</v>
      </c>
      <c r="G34" s="4"/>
      <c r="K34" s="5"/>
      <c r="Q34">
        <v>2.6337448559670782</v>
      </c>
      <c r="R34">
        <f t="shared" si="86"/>
        <v>-5.3559945295271865</v>
      </c>
      <c r="S34">
        <f t="shared" si="87"/>
        <v>0.50367524831471144</v>
      </c>
      <c r="T34">
        <v>2.6337448559670782</v>
      </c>
      <c r="U34">
        <f t="shared" si="81"/>
        <v>-4.7194186573125734</v>
      </c>
      <c r="V34">
        <f t="shared" si="88"/>
        <v>0.47489040984246939</v>
      </c>
      <c r="W34">
        <v>2.6337448559670782</v>
      </c>
      <c r="X34">
        <f t="shared" si="82"/>
        <v>-5.3405482917515572</v>
      </c>
      <c r="Y34">
        <f t="shared" si="89"/>
        <v>0.46967720913342126</v>
      </c>
    </row>
    <row r="36" spans="1:25" x14ac:dyDescent="0.25">
      <c r="A36" t="s">
        <v>100</v>
      </c>
      <c r="C36" s="3">
        <f>AVERAGE(B32:E32)</f>
        <v>0.66458202807759126</v>
      </c>
      <c r="G36" s="8"/>
      <c r="K36" s="5"/>
    </row>
    <row r="39" spans="1:25" x14ac:dyDescent="0.25">
      <c r="A39" s="9" t="s">
        <v>102</v>
      </c>
    </row>
    <row r="40" spans="1:25" ht="15.75" x14ac:dyDescent="0.25">
      <c r="A40" s="2"/>
      <c r="B40" s="3">
        <f>(B25-$C$36)/($C$34-$C$36)*100</f>
        <v>6.2582248459967031</v>
      </c>
      <c r="C40" s="3">
        <f t="shared" ref="C40:M40" si="99">(C25-$C$36)/($C$34-$C$36)*100</f>
        <v>6.2239498355632223</v>
      </c>
      <c r="D40" s="3">
        <f t="shared" si="99"/>
        <v>5.1349492369302201</v>
      </c>
      <c r="E40" s="3">
        <f t="shared" si="99"/>
        <v>5.6578338528830461</v>
      </c>
      <c r="F40" s="3">
        <f t="shared" si="99"/>
        <v>19.407837639321691</v>
      </c>
      <c r="G40" s="3">
        <f t="shared" si="99"/>
        <v>23.024242883568377</v>
      </c>
      <c r="H40" s="3">
        <f t="shared" si="99"/>
        <v>23.764809869760708</v>
      </c>
      <c r="I40" s="3">
        <f t="shared" si="99"/>
        <v>25.320782128829052</v>
      </c>
      <c r="J40" s="3">
        <f t="shared" si="99"/>
        <v>24.770366264463398</v>
      </c>
      <c r="K40" s="3">
        <f t="shared" si="99"/>
        <v>10.219998446805132</v>
      </c>
      <c r="L40" s="3">
        <f t="shared" si="99"/>
        <v>11.674207401744411</v>
      </c>
      <c r="M40" s="3">
        <f t="shared" si="99"/>
        <v>9.1584007999103925</v>
      </c>
    </row>
    <row r="41" spans="1:25" ht="15.75" x14ac:dyDescent="0.25">
      <c r="A41" s="2"/>
      <c r="B41" s="3">
        <f t="shared" ref="B41:F41" si="100">(B26-$C$36)/($C$34-$C$36)*100</f>
        <v>1.5234183648772395</v>
      </c>
      <c r="C41" s="3">
        <f t="shared" si="100"/>
        <v>1.3599181687254029</v>
      </c>
      <c r="D41" s="3">
        <f t="shared" si="100"/>
        <v>2.2694944720344576</v>
      </c>
      <c r="E41" s="3">
        <f t="shared" si="100"/>
        <v>0.72851930506938789</v>
      </c>
      <c r="F41" s="3">
        <f t="shared" si="100"/>
        <v>10.445071976351185</v>
      </c>
      <c r="G41" s="3">
        <f t="shared" ref="G41" si="101">(G26-$C$36)/($C$34-$C$36)*100</f>
        <v>9.9195717803826309</v>
      </c>
      <c r="H41" s="3">
        <f t="shared" ref="H41" si="102">(H26-$C$36)/($C$34-$C$36)*100</f>
        <v>10.307166864229846</v>
      </c>
      <c r="I41" s="3">
        <f t="shared" ref="I41" si="103">(I26-$C$36)/($C$34-$C$36)*100</f>
        <v>9.9782355933151834</v>
      </c>
      <c r="J41" s="3">
        <f t="shared" ref="J41" si="104">(J26-$C$36)/($C$34-$C$36)*100</f>
        <v>6.5231292561110639</v>
      </c>
      <c r="K41" s="3">
        <f t="shared" ref="K41" si="105">(K26-$C$36)/($C$34-$C$36)*100</f>
        <v>2.6132496760646973</v>
      </c>
      <c r="L41" s="3">
        <f t="shared" ref="L41" si="106">(L26-$C$36)/($C$34-$C$36)*100</f>
        <v>2.6992423532140877</v>
      </c>
      <c r="M41" s="3">
        <f t="shared" ref="M41" si="107">(M26-$C$36)/($C$34-$C$36)*100</f>
        <v>1.8576674820261165</v>
      </c>
    </row>
    <row r="42" spans="1:25" ht="15.75" x14ac:dyDescent="0.25">
      <c r="A42" s="2"/>
      <c r="B42" s="3">
        <f t="shared" ref="B42:F42" si="108">(B27-$C$36)/($C$34-$C$36)*100</f>
        <v>-2.6721154990976648</v>
      </c>
      <c r="C42" s="3">
        <f t="shared" si="108"/>
        <v>-2.8401662827312282</v>
      </c>
      <c r="D42" s="3">
        <f t="shared" si="108"/>
        <v>-2.8086318483707631</v>
      </c>
      <c r="E42" s="3">
        <f t="shared" si="108"/>
        <v>-3.177073965116469</v>
      </c>
      <c r="F42" s="3">
        <f t="shared" si="108"/>
        <v>3.1142281332445672</v>
      </c>
      <c r="G42" s="3">
        <f t="shared" ref="G42" si="109">(G27-$C$36)/($C$34-$C$36)*100</f>
        <v>4.4295442358192494</v>
      </c>
      <c r="H42" s="3">
        <f t="shared" ref="H42" si="110">(H27-$C$36)/($C$34-$C$36)*100</f>
        <v>2.2659902892284278</v>
      </c>
      <c r="I42" s="3">
        <f t="shared" ref="I42" si="111">(I27-$C$36)/($C$34-$C$36)*100</f>
        <v>2.6317131811199621</v>
      </c>
      <c r="J42" s="3">
        <f t="shared" ref="J42" si="112">(J27-$C$36)/($C$34-$C$36)*100</f>
        <v>-1.5683875462982104</v>
      </c>
      <c r="K42" s="3">
        <f t="shared" ref="K42" si="113">(K27-$C$36)/($C$34-$C$36)*100</f>
        <v>-1.9091547365942403</v>
      </c>
      <c r="L42" s="3">
        <f t="shared" ref="L42" si="114">(L27-$C$36)/($C$34-$C$36)*100</f>
        <v>-1.5154974333398255</v>
      </c>
      <c r="M42" s="3">
        <f t="shared" ref="M42" si="115">(M27-$C$36)/($C$34-$C$36)*100</f>
        <v>-2.4027558542534586</v>
      </c>
    </row>
    <row r="43" spans="1:25" ht="15.75" x14ac:dyDescent="0.25">
      <c r="A43" s="2"/>
      <c r="B43" s="3">
        <f t="shared" ref="B43:F43" si="116">(B28-$C$36)/($C$34-$C$36)*100</f>
        <v>-4.3977643584531911</v>
      </c>
      <c r="C43" s="3">
        <f t="shared" si="116"/>
        <v>-4.5411458539656424</v>
      </c>
      <c r="D43" s="3">
        <f t="shared" si="116"/>
        <v>-5.1058310953685959</v>
      </c>
      <c r="E43" s="3">
        <f t="shared" si="116"/>
        <v>-4.9010042290577962</v>
      </c>
      <c r="F43" s="3">
        <f t="shared" si="116"/>
        <v>-0.18337849866723102</v>
      </c>
      <c r="G43" s="3">
        <f t="shared" ref="G43" si="117">(G28-$C$36)/($C$34-$C$36)*100</f>
        <v>0.55207134011747228</v>
      </c>
      <c r="H43" s="3">
        <f t="shared" ref="H43" si="118">(H28-$C$36)/($C$34-$C$36)*100</f>
        <v>-1.4200474945013151</v>
      </c>
      <c r="I43" s="3">
        <f t="shared" ref="I43" si="119">(I28-$C$36)/($C$34-$C$36)*100</f>
        <v>-1.4104240724793036</v>
      </c>
      <c r="J43" s="3">
        <f t="shared" ref="J43" si="120">(J28-$C$36)/($C$34-$C$36)*100</f>
        <v>-3.8651260229096671</v>
      </c>
      <c r="K43" s="3">
        <f t="shared" ref="K43" si="121">(K28-$C$36)/($C$34-$C$36)*100</f>
        <v>-4.328134436993083</v>
      </c>
      <c r="L43" s="3">
        <f t="shared" ref="L43" si="122">(L28-$C$36)/($C$34-$C$36)*100</f>
        <v>-4.6718707489616627</v>
      </c>
      <c r="M43" s="3">
        <f t="shared" ref="M43" si="123">(M28-$C$36)/($C$34-$C$36)*100</f>
        <v>-4.63219289418375</v>
      </c>
    </row>
    <row r="44" spans="1:25" ht="15.75" x14ac:dyDescent="0.25">
      <c r="A44" s="2"/>
      <c r="B44" s="3">
        <f t="shared" ref="B44:F44" si="124">(B29-$C$36)/($C$34-$C$36)*100</f>
        <v>-5.7628466906468496</v>
      </c>
      <c r="C44" s="3">
        <f t="shared" si="124"/>
        <v>-4.2351506443913536</v>
      </c>
      <c r="D44" s="3">
        <f t="shared" si="124"/>
        <v>-5.4186225880664969</v>
      </c>
      <c r="E44" s="3">
        <f t="shared" si="124"/>
        <v>-5.3881797088804744</v>
      </c>
      <c r="F44" s="3">
        <f t="shared" si="124"/>
        <v>-2.8071445772782919</v>
      </c>
      <c r="G44" s="3">
        <f t="shared" ref="G44" si="125">(G29-$C$36)/($C$34-$C$36)*100</f>
        <v>-3.0731057909424804</v>
      </c>
      <c r="H44" s="3">
        <f t="shared" ref="H44" si="126">(H29-$C$36)/($C$34-$C$36)*100</f>
        <v>-4.161907923024236</v>
      </c>
      <c r="I44" s="3">
        <f t="shared" ref="I44" si="127">(I29-$C$36)/($C$34-$C$36)*100</f>
        <v>-4.5795737956340474</v>
      </c>
      <c r="J44" s="3">
        <f t="shared" ref="J44" si="128">(J29-$C$36)/($C$34-$C$36)*100</f>
        <v>-5.464118340862985</v>
      </c>
      <c r="K44" s="3">
        <f t="shared" ref="K44" si="129">(K29-$C$36)/($C$34-$C$36)*100</f>
        <v>-5.2135460245897258</v>
      </c>
      <c r="L44" s="3">
        <f t="shared" ref="L44" si="130">(L29-$C$36)/($C$34-$C$36)*100</f>
        <v>-5.2898364098418584</v>
      </c>
      <c r="M44" s="3">
        <f t="shared" ref="M44" si="131">(M29-$C$36)/($C$34-$C$36)*100</f>
        <v>-6.2987183235376971</v>
      </c>
    </row>
    <row r="45" spans="1:25" ht="15.75" x14ac:dyDescent="0.25">
      <c r="A45" s="6"/>
      <c r="B45" s="3">
        <f t="shared" ref="B45:F45" si="132">(B30-$C$36)/($C$34-$C$36)*100</f>
        <v>-5.8449944552967636</v>
      </c>
      <c r="C45" s="3">
        <f t="shared" si="132"/>
        <v>-4.5153292300439274</v>
      </c>
      <c r="D45" s="3">
        <f t="shared" si="132"/>
        <v>-6.158012400178146</v>
      </c>
      <c r="E45" s="3">
        <f t="shared" si="132"/>
        <v>-5.9025293105163978</v>
      </c>
      <c r="F45" s="3">
        <f t="shared" si="132"/>
        <v>-3.6776970933202304</v>
      </c>
      <c r="G45" s="3">
        <f t="shared" ref="G45" si="133">(G30-$C$36)/($C$34-$C$36)*100</f>
        <v>-4.3923689121691822</v>
      </c>
      <c r="H45" s="3">
        <f t="shared" ref="H45" si="134">(H30-$C$36)/($C$34-$C$36)*100</f>
        <v>-5.3451298500807018</v>
      </c>
      <c r="I45" s="3">
        <f t="shared" ref="I45" si="135">(I30-$C$36)/($C$34-$C$36)*100</f>
        <v>-5.5447004174394303</v>
      </c>
      <c r="J45" s="3">
        <f t="shared" ref="J45" si="136">(J30-$C$36)/($C$34-$C$36)*100</f>
        <v>-5.6344798567673617</v>
      </c>
      <c r="K45" s="3">
        <f t="shared" ref="K45" si="137">(K30-$C$36)/($C$34-$C$36)*100</f>
        <v>-5.8419288187554672</v>
      </c>
      <c r="L45" s="3">
        <f t="shared" ref="L45" si="138">(L30-$C$36)/($C$34-$C$36)*100</f>
        <v>-6.234768886006564</v>
      </c>
      <c r="M45" s="3">
        <f t="shared" ref="M45" si="139">(M30-$C$36)/($C$34-$C$36)*100</f>
        <v>-6.622796206827271</v>
      </c>
    </row>
    <row r="46" spans="1:25" ht="16.5" thickBot="1" x14ac:dyDescent="0.3">
      <c r="A46" s="7"/>
      <c r="B46" s="3">
        <f t="shared" ref="B46:F46" si="140">(B31-$C$36)/($C$34-$C$36)*100</f>
        <v>-5.3664870659158446</v>
      </c>
      <c r="C46" s="3">
        <f t="shared" si="140"/>
        <v>-4.6403663683432672</v>
      </c>
      <c r="D46" s="3">
        <f t="shared" si="140"/>
        <v>-5.7191544195683219</v>
      </c>
      <c r="E46" s="3">
        <f t="shared" si="140"/>
        <v>-5.6979702642813121</v>
      </c>
      <c r="F46" s="3">
        <f t="shared" si="140"/>
        <v>-4.1300379138542116</v>
      </c>
      <c r="G46" s="3">
        <f t="shared" ref="G46" si="141">(G31-$C$36)/($C$34-$C$36)*100</f>
        <v>-4.5110415970064333</v>
      </c>
      <c r="H46" s="3">
        <f t="shared" ref="H46" si="142">(H31-$C$36)/($C$34-$C$36)*100</f>
        <v>-4.5394848760892108</v>
      </c>
      <c r="I46" s="3">
        <f t="shared" ref="I46" si="143">(I31-$C$36)/($C$34-$C$36)*100</f>
        <v>-5.1861696300894264</v>
      </c>
      <c r="J46" s="3">
        <f t="shared" ref="J46" si="144">(J31-$C$36)/($C$34-$C$36)*100</f>
        <v>-5.2303592695235803</v>
      </c>
      <c r="K46" s="3">
        <f t="shared" ref="K46" si="145">(K31-$C$36)/($C$34-$C$36)*100</f>
        <v>-4.9353975487996786</v>
      </c>
      <c r="L46" s="3">
        <f t="shared" ref="L46" si="146">(L31-$C$36)/($C$34-$C$36)*100</f>
        <v>-5.2308956417535821</v>
      </c>
      <c r="M46" s="3">
        <f t="shared" ref="M46" si="147">(M31-$C$36)/($C$34-$C$36)*100</f>
        <v>-5.8553516847014109</v>
      </c>
    </row>
    <row r="47" spans="1:25" x14ac:dyDescent="0.25">
      <c r="A47" s="1"/>
      <c r="B47" s="3">
        <f t="shared" ref="B47:F47" si="148">(B32-$C$36)/($C$34-$C$36)*100</f>
        <v>-0.16075732025882628</v>
      </c>
      <c r="C47" s="3">
        <f t="shared" si="148"/>
        <v>9.3590790526636755E-2</v>
      </c>
      <c r="D47" s="3">
        <f t="shared" si="148"/>
        <v>1.9496228597462965E-2</v>
      </c>
      <c r="E47" s="3">
        <f t="shared" si="148"/>
        <v>4.7670301134722384E-2</v>
      </c>
      <c r="F47" s="3">
        <f t="shared" si="148"/>
        <v>95.005968651771369</v>
      </c>
      <c r="G47" s="3">
        <f t="shared" ref="G47" si="149">(G32-$C$36)/($C$34-$C$36)*100</f>
        <v>96.911346142958692</v>
      </c>
      <c r="H47" s="3">
        <f t="shared" ref="H47" si="150">(H32-$C$36)/($C$34-$C$36)*100</f>
        <v>93.755036077388013</v>
      </c>
      <c r="I47" s="3">
        <f t="shared" ref="I47" si="151">(I32-$C$36)/($C$34-$C$36)*100</f>
        <v>95.509792276986289</v>
      </c>
      <c r="J47" s="3">
        <f t="shared" ref="J47" si="152">(J32-$C$36)/($C$34-$C$36)*100</f>
        <v>92.657190160556667</v>
      </c>
      <c r="K47" s="3">
        <f t="shared" ref="K47" si="153">(K32-$C$36)/($C$34-$C$36)*100</f>
        <v>106.93778847893365</v>
      </c>
      <c r="L47" s="3">
        <f t="shared" ref="L47" si="154">(L32-$C$36)/($C$34-$C$36)*100</f>
        <v>106.27786570531275</v>
      </c>
      <c r="M47" s="3">
        <f t="shared" ref="M47" si="155">(M32-$C$36)/($C$34-$C$36)*100</f>
        <v>112.94501250609252</v>
      </c>
    </row>
  </sheetData>
  <mergeCells count="6">
    <mergeCell ref="B11:E11"/>
    <mergeCell ref="F11:I11"/>
    <mergeCell ref="J11:M11"/>
    <mergeCell ref="B2:E2"/>
    <mergeCell ref="F2:I2"/>
    <mergeCell ref="J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19DA-B310-443A-BD33-2FD257226160}">
  <dimension ref="A1:CS47"/>
  <sheetViews>
    <sheetView topLeftCell="A15" workbookViewId="0">
      <selection activeCell="R31" sqref="R31:S38"/>
    </sheetView>
  </sheetViews>
  <sheetFormatPr defaultRowHeight="15" x14ac:dyDescent="0.25"/>
  <sheetData>
    <row r="1" spans="1:14" ht="15.75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4" ht="15.75" thickBot="1" x14ac:dyDescent="0.3">
      <c r="B3" s="26">
        <v>72</v>
      </c>
      <c r="C3" s="26"/>
      <c r="D3" s="26"/>
      <c r="E3" s="26"/>
      <c r="F3" s="26">
        <v>73</v>
      </c>
      <c r="G3" s="26"/>
      <c r="H3" s="26"/>
      <c r="I3" s="26"/>
      <c r="J3" s="26" t="s">
        <v>106</v>
      </c>
      <c r="K3" s="26"/>
      <c r="L3" s="26"/>
      <c r="M3" s="26"/>
    </row>
    <row r="4" spans="1:14" ht="15.75" x14ac:dyDescent="0.25">
      <c r="B4" s="10">
        <v>1</v>
      </c>
      <c r="C4" s="11">
        <v>2</v>
      </c>
      <c r="D4" s="11">
        <v>3</v>
      </c>
      <c r="E4" s="11">
        <v>4</v>
      </c>
      <c r="F4" s="11">
        <v>5</v>
      </c>
      <c r="G4" s="11">
        <v>6</v>
      </c>
      <c r="H4" s="11">
        <v>7</v>
      </c>
      <c r="I4" s="11">
        <v>8</v>
      </c>
      <c r="J4" s="11">
        <v>9</v>
      </c>
      <c r="K4" s="11">
        <v>10</v>
      </c>
      <c r="L4" s="11">
        <v>11</v>
      </c>
      <c r="M4" s="12">
        <v>12</v>
      </c>
    </row>
    <row r="5" spans="1:14" ht="15.75" x14ac:dyDescent="0.25">
      <c r="B5" s="13">
        <v>30</v>
      </c>
      <c r="C5" s="14"/>
      <c r="D5" s="14"/>
      <c r="E5" s="14"/>
      <c r="F5" s="16">
        <v>10</v>
      </c>
      <c r="G5" s="16"/>
      <c r="H5" s="16"/>
      <c r="I5" s="16"/>
      <c r="J5" s="18">
        <v>15</v>
      </c>
      <c r="K5" s="18"/>
      <c r="L5" s="18"/>
      <c r="M5" s="18"/>
    </row>
    <row r="6" spans="1:14" ht="15.75" x14ac:dyDescent="0.25">
      <c r="A6" s="21"/>
      <c r="B6" s="13">
        <f>B5*2/3</f>
        <v>20</v>
      </c>
      <c r="C6" s="14"/>
      <c r="D6" s="14"/>
      <c r="E6" s="14"/>
      <c r="F6" s="16">
        <f>F5/2</f>
        <v>5</v>
      </c>
      <c r="G6" s="16"/>
      <c r="H6" s="16"/>
      <c r="I6" s="16"/>
      <c r="J6" s="18">
        <f>J5/2</f>
        <v>7.5</v>
      </c>
      <c r="K6" s="18"/>
      <c r="L6" s="18"/>
      <c r="M6" s="18"/>
    </row>
    <row r="7" spans="1:14" ht="15.75" x14ac:dyDescent="0.25">
      <c r="A7" s="21"/>
      <c r="B7" s="13">
        <f t="shared" ref="B7:B11" si="0">B6*2/3</f>
        <v>13.333333333333334</v>
      </c>
      <c r="C7" s="14"/>
      <c r="D7" s="14"/>
      <c r="E7" s="14"/>
      <c r="F7" s="16">
        <f t="shared" ref="F7:F11" si="1">F6/2</f>
        <v>2.5</v>
      </c>
      <c r="G7" s="16"/>
      <c r="H7" s="16"/>
      <c r="I7" s="16"/>
      <c r="J7" s="18">
        <f t="shared" ref="J7:J11" si="2">J6/2</f>
        <v>3.75</v>
      </c>
      <c r="K7" s="18"/>
      <c r="L7" s="18"/>
      <c r="M7" s="18"/>
    </row>
    <row r="8" spans="1:14" ht="15.75" x14ac:dyDescent="0.25">
      <c r="A8" s="21"/>
      <c r="B8" s="13">
        <f t="shared" si="0"/>
        <v>8.8888888888888893</v>
      </c>
      <c r="C8" s="14"/>
      <c r="D8" s="14"/>
      <c r="E8" s="14"/>
      <c r="F8" s="16">
        <f t="shared" si="1"/>
        <v>1.25</v>
      </c>
      <c r="G8" s="16"/>
      <c r="H8" s="16"/>
      <c r="I8" s="16"/>
      <c r="J8" s="18">
        <f t="shared" si="2"/>
        <v>1.875</v>
      </c>
      <c r="K8" s="18"/>
      <c r="L8" s="18"/>
      <c r="M8" s="18"/>
    </row>
    <row r="9" spans="1:14" ht="15.75" x14ac:dyDescent="0.25">
      <c r="A9" s="21"/>
      <c r="B9" s="13">
        <f t="shared" si="0"/>
        <v>5.9259259259259265</v>
      </c>
      <c r="C9" s="14"/>
      <c r="D9" s="14"/>
      <c r="E9" s="14"/>
      <c r="F9" s="16">
        <f t="shared" si="1"/>
        <v>0.625</v>
      </c>
      <c r="G9" s="16"/>
      <c r="H9" s="16"/>
      <c r="I9" s="16"/>
      <c r="J9" s="18">
        <f t="shared" si="2"/>
        <v>0.9375</v>
      </c>
      <c r="K9" s="18"/>
      <c r="L9" s="18"/>
      <c r="M9" s="18"/>
    </row>
    <row r="10" spans="1:14" ht="15.75" x14ac:dyDescent="0.25">
      <c r="A10" s="21"/>
      <c r="B10" s="13">
        <f t="shared" si="0"/>
        <v>3.9506172839506175</v>
      </c>
      <c r="C10" s="14"/>
      <c r="D10" s="14"/>
      <c r="E10" s="14"/>
      <c r="F10" s="16">
        <f t="shared" si="1"/>
        <v>0.3125</v>
      </c>
      <c r="G10" s="16"/>
      <c r="H10" s="16"/>
      <c r="I10" s="16"/>
      <c r="J10" s="18">
        <f t="shared" si="2"/>
        <v>0.46875</v>
      </c>
      <c r="K10" s="18"/>
      <c r="L10" s="18"/>
      <c r="M10" s="18"/>
    </row>
    <row r="11" spans="1:14" ht="15.75" x14ac:dyDescent="0.25">
      <c r="A11" s="22"/>
      <c r="B11" s="13">
        <f t="shared" si="0"/>
        <v>2.6337448559670782</v>
      </c>
      <c r="C11" s="14"/>
      <c r="D11" s="14"/>
      <c r="E11" s="14"/>
      <c r="F11" s="16">
        <f t="shared" si="1"/>
        <v>0.15625</v>
      </c>
      <c r="G11" s="16"/>
      <c r="H11" s="16"/>
      <c r="I11" s="16"/>
      <c r="J11" s="18">
        <f t="shared" si="2"/>
        <v>0.234375</v>
      </c>
      <c r="K11" s="18"/>
      <c r="L11" s="18"/>
      <c r="M11" s="18"/>
    </row>
    <row r="12" spans="1:14" ht="16.5" thickBot="1" x14ac:dyDescent="0.3">
      <c r="A12" s="21"/>
      <c r="B12" s="25" t="s">
        <v>104</v>
      </c>
      <c r="C12" s="26"/>
      <c r="D12" s="26"/>
      <c r="E12" s="26"/>
      <c r="F12" s="26" t="s">
        <v>98</v>
      </c>
      <c r="G12" s="26"/>
      <c r="H12" s="26"/>
      <c r="I12" s="26"/>
      <c r="J12" s="26" t="s">
        <v>105</v>
      </c>
      <c r="K12" s="26"/>
      <c r="L12" s="26"/>
      <c r="M12" s="27"/>
    </row>
    <row r="18" spans="1:97" x14ac:dyDescent="0.25">
      <c r="A18" s="23" t="s">
        <v>0</v>
      </c>
      <c r="B18" s="23" t="s">
        <v>1</v>
      </c>
      <c r="C18" s="23" t="s">
        <v>2</v>
      </c>
      <c r="D18" s="23" t="s">
        <v>3</v>
      </c>
      <c r="E18" s="23" t="s">
        <v>4</v>
      </c>
      <c r="F18" s="23" t="s">
        <v>5</v>
      </c>
      <c r="G18" s="23" t="s">
        <v>6</v>
      </c>
      <c r="H18" s="23" t="s">
        <v>7</v>
      </c>
      <c r="I18" s="23" t="s">
        <v>8</v>
      </c>
      <c r="J18" s="23" t="s">
        <v>9</v>
      </c>
      <c r="K18" s="23" t="s">
        <v>10</v>
      </c>
      <c r="L18" s="23" t="s">
        <v>11</v>
      </c>
      <c r="M18" s="23" t="s">
        <v>12</v>
      </c>
      <c r="N18" s="23" t="s">
        <v>13</v>
      </c>
      <c r="O18" s="23" t="s">
        <v>14</v>
      </c>
      <c r="P18" s="23" t="s">
        <v>15</v>
      </c>
      <c r="Q18" s="23" t="s">
        <v>16</v>
      </c>
      <c r="R18" s="23" t="s">
        <v>17</v>
      </c>
      <c r="S18" s="23" t="s">
        <v>18</v>
      </c>
      <c r="T18" s="23" t="s">
        <v>19</v>
      </c>
      <c r="U18" s="23" t="s">
        <v>20</v>
      </c>
      <c r="V18" s="23" t="s">
        <v>21</v>
      </c>
      <c r="W18" s="23" t="s">
        <v>22</v>
      </c>
      <c r="X18" s="23" t="s">
        <v>23</v>
      </c>
      <c r="Y18" s="23" t="s">
        <v>24</v>
      </c>
      <c r="Z18" s="23" t="s">
        <v>25</v>
      </c>
      <c r="AA18" s="23" t="s">
        <v>26</v>
      </c>
      <c r="AB18" s="23" t="s">
        <v>27</v>
      </c>
      <c r="AC18" s="23" t="s">
        <v>28</v>
      </c>
      <c r="AD18" s="23" t="s">
        <v>29</v>
      </c>
      <c r="AE18" s="23" t="s">
        <v>30</v>
      </c>
      <c r="AF18" s="23" t="s">
        <v>31</v>
      </c>
      <c r="AG18" s="23" t="s">
        <v>32</v>
      </c>
      <c r="AH18" s="23" t="s">
        <v>33</v>
      </c>
      <c r="AI18" s="23" t="s">
        <v>34</v>
      </c>
      <c r="AJ18" s="23" t="s">
        <v>35</v>
      </c>
      <c r="AK18" s="23" t="s">
        <v>36</v>
      </c>
      <c r="AL18" s="23" t="s">
        <v>37</v>
      </c>
      <c r="AM18" s="23" t="s">
        <v>38</v>
      </c>
      <c r="AN18" s="23" t="s">
        <v>39</v>
      </c>
      <c r="AO18" s="23" t="s">
        <v>40</v>
      </c>
      <c r="AP18" s="23" t="s">
        <v>41</v>
      </c>
      <c r="AQ18" s="23" t="s">
        <v>42</v>
      </c>
      <c r="AR18" s="23" t="s">
        <v>43</v>
      </c>
      <c r="AS18" s="23" t="s">
        <v>44</v>
      </c>
      <c r="AT18" s="23" t="s">
        <v>45</v>
      </c>
      <c r="AU18" s="23" t="s">
        <v>46</v>
      </c>
      <c r="AV18" s="23" t="s">
        <v>47</v>
      </c>
      <c r="AW18" s="23" t="s">
        <v>48</v>
      </c>
      <c r="AX18" s="23" t="s">
        <v>49</v>
      </c>
      <c r="AY18" s="23" t="s">
        <v>50</v>
      </c>
      <c r="AZ18" s="23" t="s">
        <v>51</v>
      </c>
      <c r="BA18" s="23" t="s">
        <v>52</v>
      </c>
      <c r="BB18" s="23" t="s">
        <v>53</v>
      </c>
      <c r="BC18" s="23" t="s">
        <v>54</v>
      </c>
      <c r="BD18" s="23" t="s">
        <v>55</v>
      </c>
      <c r="BE18" s="23" t="s">
        <v>56</v>
      </c>
      <c r="BF18" s="23" t="s">
        <v>57</v>
      </c>
      <c r="BG18" s="23" t="s">
        <v>58</v>
      </c>
      <c r="BH18" s="23" t="s">
        <v>59</v>
      </c>
      <c r="BI18" s="23" t="s">
        <v>60</v>
      </c>
      <c r="BJ18" s="23" t="s">
        <v>61</v>
      </c>
      <c r="BK18" s="23" t="s">
        <v>62</v>
      </c>
      <c r="BL18" s="23" t="s">
        <v>63</v>
      </c>
      <c r="BM18" s="23" t="s">
        <v>64</v>
      </c>
      <c r="BN18" s="23" t="s">
        <v>65</v>
      </c>
      <c r="BO18" s="23" t="s">
        <v>66</v>
      </c>
      <c r="BP18" s="23" t="s">
        <v>67</v>
      </c>
      <c r="BQ18" s="23" t="s">
        <v>68</v>
      </c>
      <c r="BR18" s="23" t="s">
        <v>69</v>
      </c>
      <c r="BS18" s="23" t="s">
        <v>70</v>
      </c>
      <c r="BT18" s="23" t="s">
        <v>71</v>
      </c>
      <c r="BU18" s="23" t="s">
        <v>72</v>
      </c>
      <c r="BV18" s="23" t="s">
        <v>73</v>
      </c>
      <c r="BW18" s="23" t="s">
        <v>74</v>
      </c>
      <c r="BX18" s="23" t="s">
        <v>75</v>
      </c>
      <c r="BY18" s="23" t="s">
        <v>76</v>
      </c>
      <c r="BZ18" s="23" t="s">
        <v>77</v>
      </c>
      <c r="CA18" s="23" t="s">
        <v>78</v>
      </c>
      <c r="CB18" s="23" t="s">
        <v>79</v>
      </c>
      <c r="CC18" s="23" t="s">
        <v>80</v>
      </c>
      <c r="CD18" s="23" t="s">
        <v>81</v>
      </c>
      <c r="CE18" s="23" t="s">
        <v>82</v>
      </c>
      <c r="CF18" s="23" t="s">
        <v>83</v>
      </c>
      <c r="CG18" s="23" t="s">
        <v>84</v>
      </c>
      <c r="CH18" s="23" t="s">
        <v>85</v>
      </c>
      <c r="CI18" s="23" t="s">
        <v>86</v>
      </c>
      <c r="CJ18" s="23" t="s">
        <v>87</v>
      </c>
      <c r="CK18" s="23" t="s">
        <v>88</v>
      </c>
      <c r="CL18" s="23" t="s">
        <v>89</v>
      </c>
      <c r="CM18" s="23" t="s">
        <v>90</v>
      </c>
      <c r="CN18" s="23" t="s">
        <v>91</v>
      </c>
      <c r="CO18" s="23" t="s">
        <v>92</v>
      </c>
      <c r="CP18" s="23" t="s">
        <v>93</v>
      </c>
      <c r="CQ18" s="23" t="s">
        <v>94</v>
      </c>
      <c r="CR18" s="23" t="s">
        <v>95</v>
      </c>
      <c r="CS18" s="23" t="s">
        <v>96</v>
      </c>
    </row>
    <row r="19" spans="1:97" x14ac:dyDescent="0.25">
      <c r="A19" s="23">
        <v>403</v>
      </c>
      <c r="B19" s="24">
        <v>195335</v>
      </c>
      <c r="C19" s="24">
        <v>193282</v>
      </c>
      <c r="D19" s="24">
        <v>193168</v>
      </c>
      <c r="E19" s="24">
        <v>192907</v>
      </c>
      <c r="F19" s="24">
        <v>165247</v>
      </c>
      <c r="G19" s="24">
        <v>163561</v>
      </c>
      <c r="H19" s="24">
        <v>167199</v>
      </c>
      <c r="I19" s="24">
        <v>164845</v>
      </c>
      <c r="J19" s="24">
        <v>168500</v>
      </c>
      <c r="K19" s="24">
        <v>173551</v>
      </c>
      <c r="L19" s="24">
        <v>169826</v>
      </c>
      <c r="M19" s="24">
        <v>171008</v>
      </c>
      <c r="N19" s="24">
        <v>226836</v>
      </c>
      <c r="O19" s="24">
        <v>221372</v>
      </c>
      <c r="P19" s="24">
        <v>224824</v>
      </c>
      <c r="Q19" s="24">
        <v>225883</v>
      </c>
      <c r="R19" s="24">
        <v>194924</v>
      </c>
      <c r="S19" s="24">
        <v>194268</v>
      </c>
      <c r="T19" s="24">
        <v>194098</v>
      </c>
      <c r="U19" s="24">
        <v>192469</v>
      </c>
      <c r="V19" s="24">
        <v>203770</v>
      </c>
      <c r="W19" s="24">
        <v>202056</v>
      </c>
      <c r="X19" s="24">
        <v>203450</v>
      </c>
      <c r="Y19" s="24">
        <v>204972</v>
      </c>
      <c r="Z19" s="24">
        <v>236617</v>
      </c>
      <c r="AA19" s="24">
        <v>236112</v>
      </c>
      <c r="AB19" s="24">
        <v>239763</v>
      </c>
      <c r="AC19" s="24">
        <v>245697</v>
      </c>
      <c r="AD19" s="24">
        <v>225415</v>
      </c>
      <c r="AE19" s="24">
        <v>232010</v>
      </c>
      <c r="AF19" s="24">
        <v>232694</v>
      </c>
      <c r="AG19" s="24">
        <v>241924</v>
      </c>
      <c r="AH19" s="24">
        <v>233443</v>
      </c>
      <c r="AI19" s="24">
        <v>241064</v>
      </c>
      <c r="AJ19" s="24">
        <v>240870</v>
      </c>
      <c r="AK19" s="24">
        <v>239442</v>
      </c>
      <c r="AL19" s="24">
        <v>247233</v>
      </c>
      <c r="AM19" s="24">
        <v>245806</v>
      </c>
      <c r="AN19" s="24">
        <v>256548</v>
      </c>
      <c r="AO19" s="24">
        <v>256209</v>
      </c>
      <c r="AP19" s="24">
        <v>260193</v>
      </c>
      <c r="AQ19" s="24">
        <v>260048</v>
      </c>
      <c r="AR19" s="24">
        <v>262404</v>
      </c>
      <c r="AS19" s="24">
        <v>262008</v>
      </c>
      <c r="AT19" s="24">
        <v>255207</v>
      </c>
      <c r="AU19" s="24">
        <v>258086</v>
      </c>
      <c r="AV19" s="24">
        <v>266006</v>
      </c>
      <c r="AW19" s="24">
        <v>266617</v>
      </c>
      <c r="AX19" s="24">
        <v>251359</v>
      </c>
      <c r="AY19" s="24">
        <v>259815</v>
      </c>
      <c r="AZ19" s="24">
        <v>254942</v>
      </c>
      <c r="BA19" s="24">
        <v>272057</v>
      </c>
      <c r="BB19" s="24">
        <v>271362</v>
      </c>
      <c r="BC19" s="24">
        <v>271126</v>
      </c>
      <c r="BD19" s="24">
        <v>270440</v>
      </c>
      <c r="BE19" s="24">
        <v>277859</v>
      </c>
      <c r="BF19" s="24">
        <v>271276</v>
      </c>
      <c r="BG19" s="24">
        <v>274732</v>
      </c>
      <c r="BH19" s="24">
        <v>274960</v>
      </c>
      <c r="BI19" s="24">
        <v>269576</v>
      </c>
      <c r="BJ19" s="24">
        <v>252190</v>
      </c>
      <c r="BK19" s="24">
        <v>260866</v>
      </c>
      <c r="BL19" s="24">
        <v>268462</v>
      </c>
      <c r="BM19" s="24">
        <v>271195</v>
      </c>
      <c r="BN19" s="24">
        <v>269000</v>
      </c>
      <c r="BO19" s="24">
        <v>271895</v>
      </c>
      <c r="BP19" s="24">
        <v>270540</v>
      </c>
      <c r="BQ19" s="24">
        <v>273155</v>
      </c>
      <c r="BR19" s="24">
        <v>272963</v>
      </c>
      <c r="BS19" s="24">
        <v>278068</v>
      </c>
      <c r="BT19" s="24">
        <v>275494</v>
      </c>
      <c r="BU19" s="24">
        <v>274821</v>
      </c>
      <c r="BV19" s="24">
        <v>263515</v>
      </c>
      <c r="BW19" s="24">
        <v>263487</v>
      </c>
      <c r="BX19" s="24">
        <v>257977</v>
      </c>
      <c r="BY19" s="24">
        <v>267491</v>
      </c>
      <c r="BZ19" s="24">
        <v>265535</v>
      </c>
      <c r="CA19" s="24">
        <v>264567</v>
      </c>
      <c r="CB19" s="24">
        <v>268032</v>
      </c>
      <c r="CC19" s="24">
        <v>270034</v>
      </c>
      <c r="CD19" s="24">
        <v>264179</v>
      </c>
      <c r="CE19" s="24">
        <v>269214</v>
      </c>
      <c r="CF19" s="24">
        <v>270010</v>
      </c>
      <c r="CG19" s="24">
        <v>263351</v>
      </c>
      <c r="CH19" s="24">
        <v>249126</v>
      </c>
      <c r="CI19" s="24">
        <v>254379</v>
      </c>
      <c r="CJ19" s="24">
        <v>246935</v>
      </c>
      <c r="CK19" s="24">
        <v>257588</v>
      </c>
      <c r="CL19" s="24">
        <v>143357</v>
      </c>
      <c r="CM19" s="24">
        <v>137793</v>
      </c>
      <c r="CN19" s="24">
        <v>146364</v>
      </c>
      <c r="CO19" s="24">
        <v>149920</v>
      </c>
      <c r="CP19" s="24">
        <v>140753</v>
      </c>
      <c r="CQ19" s="24">
        <v>142185</v>
      </c>
      <c r="CR19" s="24">
        <v>139692</v>
      </c>
      <c r="CS19" s="24">
        <v>143589</v>
      </c>
    </row>
    <row r="20" spans="1:97" x14ac:dyDescent="0.25">
      <c r="A20" s="23">
        <v>460</v>
      </c>
      <c r="B20" s="24">
        <v>376058</v>
      </c>
      <c r="C20" s="24">
        <v>372940</v>
      </c>
      <c r="D20" s="24">
        <v>381552</v>
      </c>
      <c r="E20" s="24">
        <v>372659</v>
      </c>
      <c r="F20" s="24">
        <v>479688</v>
      </c>
      <c r="G20" s="24">
        <v>473375</v>
      </c>
      <c r="H20" s="24">
        <v>475945</v>
      </c>
      <c r="I20" s="24">
        <v>484850</v>
      </c>
      <c r="J20" s="24">
        <v>457576</v>
      </c>
      <c r="K20" s="24">
        <v>468054</v>
      </c>
      <c r="L20" s="24">
        <v>463138</v>
      </c>
      <c r="M20" s="24">
        <v>458877</v>
      </c>
      <c r="N20" s="24">
        <v>306294</v>
      </c>
      <c r="O20" s="24">
        <v>310582</v>
      </c>
      <c r="P20" s="24">
        <v>310374</v>
      </c>
      <c r="Q20" s="24">
        <v>310519</v>
      </c>
      <c r="R20" s="24">
        <v>413787</v>
      </c>
      <c r="S20" s="24">
        <v>420722</v>
      </c>
      <c r="T20" s="24">
        <v>415869</v>
      </c>
      <c r="U20" s="24">
        <v>417488</v>
      </c>
      <c r="V20" s="24">
        <v>391368</v>
      </c>
      <c r="W20" s="24">
        <v>396941</v>
      </c>
      <c r="X20" s="24">
        <v>395109</v>
      </c>
      <c r="Y20" s="24">
        <v>394067</v>
      </c>
      <c r="Z20" s="24">
        <v>265711</v>
      </c>
      <c r="AA20" s="24">
        <v>263094</v>
      </c>
      <c r="AB20" s="24">
        <v>266745</v>
      </c>
      <c r="AC20" s="24">
        <v>266076</v>
      </c>
      <c r="AD20" s="24">
        <v>336856</v>
      </c>
      <c r="AE20" s="24">
        <v>330486</v>
      </c>
      <c r="AF20" s="24">
        <v>325657</v>
      </c>
      <c r="AG20" s="24">
        <v>310908</v>
      </c>
      <c r="AH20" s="24">
        <v>325191</v>
      </c>
      <c r="AI20" s="24">
        <v>311384</v>
      </c>
      <c r="AJ20" s="24">
        <v>301336</v>
      </c>
      <c r="AK20" s="24">
        <v>291388</v>
      </c>
      <c r="AL20" s="24">
        <v>229717</v>
      </c>
      <c r="AM20" s="24">
        <v>228193</v>
      </c>
      <c r="AN20" s="24">
        <v>237889</v>
      </c>
      <c r="AO20" s="24">
        <v>239094</v>
      </c>
      <c r="AP20" s="24">
        <v>255923</v>
      </c>
      <c r="AQ20" s="24">
        <v>244273</v>
      </c>
      <c r="AR20" s="24">
        <v>242214</v>
      </c>
      <c r="AS20" s="24">
        <v>234021</v>
      </c>
      <c r="AT20" s="24">
        <v>257912</v>
      </c>
      <c r="AU20" s="24">
        <v>230109</v>
      </c>
      <c r="AV20" s="24">
        <v>226546</v>
      </c>
      <c r="AW20" s="24">
        <v>222456</v>
      </c>
      <c r="AX20" s="24">
        <v>200409</v>
      </c>
      <c r="AY20" s="24">
        <v>206277</v>
      </c>
      <c r="AZ20" s="24">
        <v>197268</v>
      </c>
      <c r="BA20" s="24">
        <v>206876</v>
      </c>
      <c r="BB20" s="24">
        <v>202509</v>
      </c>
      <c r="BC20" s="24">
        <v>205835</v>
      </c>
      <c r="BD20" s="24">
        <v>204898</v>
      </c>
      <c r="BE20" s="24">
        <v>207246</v>
      </c>
      <c r="BF20" s="24">
        <v>203523</v>
      </c>
      <c r="BG20" s="24">
        <v>199898</v>
      </c>
      <c r="BH20" s="24">
        <v>201619</v>
      </c>
      <c r="BI20" s="24">
        <v>197487</v>
      </c>
      <c r="BJ20" s="24">
        <v>180351</v>
      </c>
      <c r="BK20" s="24">
        <v>186594</v>
      </c>
      <c r="BL20" s="24">
        <v>190315</v>
      </c>
      <c r="BM20" s="24">
        <v>190402</v>
      </c>
      <c r="BN20" s="24">
        <v>189028</v>
      </c>
      <c r="BO20" s="24">
        <v>190523</v>
      </c>
      <c r="BP20" s="24">
        <v>190452</v>
      </c>
      <c r="BQ20" s="24">
        <v>192799</v>
      </c>
      <c r="BR20" s="24">
        <v>190621</v>
      </c>
      <c r="BS20" s="24">
        <v>191252</v>
      </c>
      <c r="BT20" s="24">
        <v>190133</v>
      </c>
      <c r="BU20" s="24">
        <v>189886</v>
      </c>
      <c r="BV20" s="24">
        <v>183998</v>
      </c>
      <c r="BW20" s="24">
        <v>184141</v>
      </c>
      <c r="BX20" s="24">
        <v>178706</v>
      </c>
      <c r="BY20" s="24">
        <v>183326</v>
      </c>
      <c r="BZ20" s="24">
        <v>180882</v>
      </c>
      <c r="CA20" s="24">
        <v>182112</v>
      </c>
      <c r="CB20" s="24">
        <v>183794</v>
      </c>
      <c r="CC20" s="24">
        <v>184785</v>
      </c>
      <c r="CD20" s="24">
        <v>178456</v>
      </c>
      <c r="CE20" s="24">
        <v>182406</v>
      </c>
      <c r="CF20" s="24">
        <v>185077</v>
      </c>
      <c r="CG20" s="24">
        <v>176547</v>
      </c>
      <c r="CH20" s="24">
        <v>166593</v>
      </c>
      <c r="CI20" s="24">
        <v>169271</v>
      </c>
      <c r="CJ20" s="24">
        <v>163407</v>
      </c>
      <c r="CK20" s="24">
        <v>170472</v>
      </c>
      <c r="CL20" s="24">
        <v>455644</v>
      </c>
      <c r="CM20" s="24">
        <v>425848</v>
      </c>
      <c r="CN20" s="24">
        <v>449911</v>
      </c>
      <c r="CO20" s="24">
        <v>474163</v>
      </c>
      <c r="CP20" s="24">
        <v>491937</v>
      </c>
      <c r="CQ20" s="24">
        <v>496815</v>
      </c>
      <c r="CR20" s="24">
        <v>495329</v>
      </c>
      <c r="CS20" s="24">
        <v>505891</v>
      </c>
    </row>
    <row r="21" spans="1:97" x14ac:dyDescent="0.25">
      <c r="A21" t="s">
        <v>97</v>
      </c>
      <c r="B21">
        <f>B20/B19</f>
        <v>1.9251951775155502</v>
      </c>
      <c r="C21">
        <f t="shared" ref="C21:AB21" si="3">C20/C19</f>
        <v>1.929512318788092</v>
      </c>
      <c r="D21">
        <f t="shared" si="3"/>
        <v>1.9752339932079848</v>
      </c>
      <c r="E21">
        <f t="shared" si="3"/>
        <v>1.9318065181667849</v>
      </c>
      <c r="F21">
        <f t="shared" si="3"/>
        <v>2.9028545147566978</v>
      </c>
      <c r="G21">
        <f t="shared" si="3"/>
        <v>2.8941801529704514</v>
      </c>
      <c r="H21">
        <f t="shared" si="3"/>
        <v>2.8465780297729055</v>
      </c>
      <c r="I21">
        <f t="shared" si="3"/>
        <v>2.9412478388789469</v>
      </c>
      <c r="J21">
        <f t="shared" si="3"/>
        <v>2.7155845697329375</v>
      </c>
      <c r="K21">
        <f t="shared" si="3"/>
        <v>2.6969248232508023</v>
      </c>
      <c r="L21">
        <f t="shared" si="3"/>
        <v>2.7271324767703415</v>
      </c>
      <c r="M21">
        <f t="shared" si="3"/>
        <v>2.683365690494012</v>
      </c>
      <c r="N21">
        <f t="shared" si="3"/>
        <v>1.350288314024229</v>
      </c>
      <c r="O21">
        <f t="shared" si="3"/>
        <v>1.4029868276024069</v>
      </c>
      <c r="P21">
        <f t="shared" si="3"/>
        <v>1.3805198733231328</v>
      </c>
      <c r="Q21">
        <f t="shared" si="3"/>
        <v>1.3746895516705551</v>
      </c>
      <c r="R21">
        <f t="shared" si="3"/>
        <v>2.1228119677412733</v>
      </c>
      <c r="S21">
        <f t="shared" si="3"/>
        <v>2.1656783412605267</v>
      </c>
      <c r="T21">
        <f t="shared" si="3"/>
        <v>2.1425723088336821</v>
      </c>
      <c r="U21">
        <f t="shared" si="3"/>
        <v>2.1691181437010636</v>
      </c>
      <c r="V21">
        <f t="shared" si="3"/>
        <v>1.9206360111890857</v>
      </c>
      <c r="W21">
        <f t="shared" si="3"/>
        <v>1.9645098388565547</v>
      </c>
      <c r="X21">
        <f t="shared" si="3"/>
        <v>1.9420447284345048</v>
      </c>
      <c r="Y21">
        <f t="shared" si="3"/>
        <v>1.9225406396971294</v>
      </c>
      <c r="Z21">
        <f t="shared" si="3"/>
        <v>1.1229581982697778</v>
      </c>
      <c r="AA21">
        <f t="shared" si="3"/>
        <v>1.1142762756657858</v>
      </c>
      <c r="AB21">
        <f t="shared" si="3"/>
        <v>1.11253612942781</v>
      </c>
      <c r="AC21">
        <f>AC20/AC19</f>
        <v>1.0829436256852953</v>
      </c>
      <c r="AD21">
        <f t="shared" ref="AD21:AN21" si="4">AD20/AD19</f>
        <v>1.4943814741698644</v>
      </c>
      <c r="AE21">
        <f t="shared" si="4"/>
        <v>1.4244472221024955</v>
      </c>
      <c r="AF21">
        <f t="shared" si="4"/>
        <v>1.3995075077139936</v>
      </c>
      <c r="AG21">
        <f t="shared" si="4"/>
        <v>1.2851474016633322</v>
      </c>
      <c r="AH21">
        <f t="shared" si="4"/>
        <v>1.3930209944183376</v>
      </c>
      <c r="AI21">
        <f t="shared" si="4"/>
        <v>1.2917067666677728</v>
      </c>
      <c r="AJ21">
        <f t="shared" si="4"/>
        <v>1.2510316768381284</v>
      </c>
      <c r="AK21">
        <f t="shared" si="4"/>
        <v>1.2169460662707461</v>
      </c>
      <c r="AL21">
        <f t="shared" si="4"/>
        <v>0.92915185270574718</v>
      </c>
      <c r="AM21">
        <f t="shared" si="4"/>
        <v>0.92834593134423082</v>
      </c>
      <c r="AN21">
        <f t="shared" si="4"/>
        <v>0.92726897110872042</v>
      </c>
      <c r="AO21">
        <f>AO20/AO19</f>
        <v>0.93319906794843277</v>
      </c>
      <c r="AP21">
        <f t="shared" ref="AP21:BG21" si="5">AP20/AP19</f>
        <v>0.98358910501051144</v>
      </c>
      <c r="AQ21">
        <f t="shared" si="5"/>
        <v>0.93933812219282597</v>
      </c>
      <c r="AR21">
        <f t="shared" si="5"/>
        <v>0.9230575753418393</v>
      </c>
      <c r="AS21">
        <f t="shared" si="5"/>
        <v>0.89318265091142257</v>
      </c>
      <c r="AT21">
        <f t="shared" si="5"/>
        <v>1.0105992390490857</v>
      </c>
      <c r="AU21">
        <f t="shared" si="5"/>
        <v>0.89159814945405791</v>
      </c>
      <c r="AV21">
        <f t="shared" si="5"/>
        <v>0.85165748141019371</v>
      </c>
      <c r="AW21">
        <f t="shared" si="5"/>
        <v>0.83436540055585351</v>
      </c>
      <c r="AX21">
        <f t="shared" si="5"/>
        <v>0.79730186705071238</v>
      </c>
      <c r="AY21">
        <f t="shared" si="5"/>
        <v>0.79393799434212808</v>
      </c>
      <c r="AZ21">
        <f t="shared" si="5"/>
        <v>0.7737759961089189</v>
      </c>
      <c r="BA21">
        <f t="shared" si="5"/>
        <v>0.76041417791124655</v>
      </c>
      <c r="BB21">
        <f t="shared" si="5"/>
        <v>0.74626882172153797</v>
      </c>
      <c r="BC21">
        <f t="shared" si="5"/>
        <v>0.75918576602760335</v>
      </c>
      <c r="BD21">
        <f t="shared" si="5"/>
        <v>0.75764679781097466</v>
      </c>
      <c r="BE21">
        <f t="shared" si="5"/>
        <v>0.74586750834056126</v>
      </c>
      <c r="BF21">
        <f t="shared" si="5"/>
        <v>0.75024329465194117</v>
      </c>
      <c r="BG21">
        <f t="shared" si="5"/>
        <v>0.72761090808497009</v>
      </c>
      <c r="BH21">
        <f>BH20/BH19</f>
        <v>0.7332666569682863</v>
      </c>
      <c r="BI21">
        <f t="shared" ref="BI21:CC21" si="6">BI20/BI19</f>
        <v>0.73258376116568236</v>
      </c>
      <c r="BJ21">
        <f t="shared" si="6"/>
        <v>0.715139379039613</v>
      </c>
      <c r="BK21">
        <f t="shared" si="6"/>
        <v>0.71528677558593301</v>
      </c>
      <c r="BL21">
        <f t="shared" si="6"/>
        <v>0.70890852336643551</v>
      </c>
      <c r="BM21">
        <f t="shared" si="6"/>
        <v>0.70208521543538782</v>
      </c>
      <c r="BN21">
        <f t="shared" si="6"/>
        <v>0.70270631970260222</v>
      </c>
      <c r="BO21">
        <f t="shared" si="6"/>
        <v>0.70072270545615034</v>
      </c>
      <c r="BP21">
        <f t="shared" si="6"/>
        <v>0.70396983810157465</v>
      </c>
      <c r="BQ21">
        <f t="shared" si="6"/>
        <v>0.70582270139664294</v>
      </c>
      <c r="BR21">
        <f t="shared" si="6"/>
        <v>0.69834006806783333</v>
      </c>
      <c r="BS21">
        <f t="shared" si="6"/>
        <v>0.6877885984723161</v>
      </c>
      <c r="BT21">
        <f t="shared" si="6"/>
        <v>0.69015296158900008</v>
      </c>
      <c r="BU21">
        <f t="shared" si="6"/>
        <v>0.6909442873725079</v>
      </c>
      <c r="BV21">
        <f t="shared" si="6"/>
        <v>0.69824488169553911</v>
      </c>
      <c r="BW21">
        <f t="shared" si="6"/>
        <v>0.69886180342863213</v>
      </c>
      <c r="BX21">
        <f t="shared" si="6"/>
        <v>0.69272066889683959</v>
      </c>
      <c r="BY21">
        <f t="shared" si="6"/>
        <v>0.68535389975737504</v>
      </c>
      <c r="BZ21">
        <f t="shared" si="6"/>
        <v>0.68119833543600661</v>
      </c>
      <c r="CA21">
        <f t="shared" si="6"/>
        <v>0.68833981562326363</v>
      </c>
      <c r="CB21">
        <f t="shared" si="6"/>
        <v>0.68571663085004775</v>
      </c>
      <c r="CC21">
        <f t="shared" si="6"/>
        <v>0.68430271743558213</v>
      </c>
      <c r="CD21">
        <f>CD20/CD19</f>
        <v>0.6755116795808902</v>
      </c>
      <c r="CE21">
        <f t="shared" ref="CE21:CS21" si="7">CE20/CE19</f>
        <v>0.67755020169827718</v>
      </c>
      <c r="CF21">
        <f t="shared" si="7"/>
        <v>0.68544498351912897</v>
      </c>
      <c r="CG21">
        <f t="shared" si="7"/>
        <v>0.67038667026136223</v>
      </c>
      <c r="CH21">
        <f t="shared" si="7"/>
        <v>0.66870980949399095</v>
      </c>
      <c r="CI21">
        <f t="shared" si="7"/>
        <v>0.66542835690053026</v>
      </c>
      <c r="CJ21">
        <f t="shared" si="7"/>
        <v>0.66174094397311034</v>
      </c>
      <c r="CK21">
        <f t="shared" si="7"/>
        <v>0.66180101557525972</v>
      </c>
      <c r="CL21">
        <f t="shared" si="7"/>
        <v>3.1783868245010707</v>
      </c>
      <c r="CM21">
        <f t="shared" si="7"/>
        <v>3.0904908086767833</v>
      </c>
      <c r="CN21">
        <f t="shared" si="7"/>
        <v>3.0739184498920498</v>
      </c>
      <c r="CO21">
        <f t="shared" si="7"/>
        <v>3.1627734791889006</v>
      </c>
      <c r="CP21">
        <f t="shared" si="7"/>
        <v>3.4950374059522709</v>
      </c>
      <c r="CQ21">
        <f t="shared" si="7"/>
        <v>3.4941449519991559</v>
      </c>
      <c r="CR21">
        <f t="shared" si="7"/>
        <v>3.5458651891303727</v>
      </c>
      <c r="CS21">
        <f t="shared" si="7"/>
        <v>3.5231877093649233</v>
      </c>
    </row>
    <row r="23" spans="1:97" x14ac:dyDescent="0.25">
      <c r="A23" s="9" t="s">
        <v>101</v>
      </c>
    </row>
    <row r="24" spans="1:97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</row>
    <row r="25" spans="1:97" ht="15.75" x14ac:dyDescent="0.25">
      <c r="A25" s="2"/>
      <c r="B25" s="3">
        <f>B21</f>
        <v>1.9251951775155502</v>
      </c>
      <c r="C25" s="3">
        <f t="shared" ref="C25:E25" si="8">C21</f>
        <v>1.929512318788092</v>
      </c>
      <c r="D25" s="3">
        <f t="shared" si="8"/>
        <v>1.9752339932079848</v>
      </c>
      <c r="E25" s="3">
        <f t="shared" si="8"/>
        <v>1.9318065181667849</v>
      </c>
      <c r="F25" s="4">
        <f>F21</f>
        <v>2.9028545147566978</v>
      </c>
      <c r="G25" s="4">
        <f t="shared" ref="G25:I25" si="9">G21</f>
        <v>2.8941801529704514</v>
      </c>
      <c r="H25" s="4">
        <f t="shared" si="9"/>
        <v>2.8465780297729055</v>
      </c>
      <c r="I25" s="4">
        <f t="shared" si="9"/>
        <v>2.9412478388789469</v>
      </c>
      <c r="J25" s="5">
        <f>J21</f>
        <v>2.7155845697329375</v>
      </c>
      <c r="K25" s="5">
        <f t="shared" ref="K25:M25" si="10">K21</f>
        <v>2.6969248232508023</v>
      </c>
      <c r="L25" s="5">
        <f t="shared" si="10"/>
        <v>2.7271324767703415</v>
      </c>
      <c r="M25" s="5">
        <f t="shared" si="10"/>
        <v>2.683365690494012</v>
      </c>
    </row>
    <row r="26" spans="1:97" ht="15.75" x14ac:dyDescent="0.25">
      <c r="A26" s="2"/>
      <c r="B26" s="3">
        <f>N21</f>
        <v>1.350288314024229</v>
      </c>
      <c r="C26" s="3">
        <f t="shared" ref="C26:E26" si="11">O21</f>
        <v>1.4029868276024069</v>
      </c>
      <c r="D26" s="3">
        <f t="shared" si="11"/>
        <v>1.3805198733231328</v>
      </c>
      <c r="E26" s="3">
        <f t="shared" si="11"/>
        <v>1.3746895516705551</v>
      </c>
      <c r="F26" s="4">
        <f>R21</f>
        <v>2.1228119677412733</v>
      </c>
      <c r="G26" s="4">
        <f t="shared" ref="G26:I26" si="12">S21</f>
        <v>2.1656783412605267</v>
      </c>
      <c r="H26" s="4">
        <f t="shared" si="12"/>
        <v>2.1425723088336821</v>
      </c>
      <c r="I26" s="4">
        <f t="shared" si="12"/>
        <v>2.1691181437010636</v>
      </c>
      <c r="J26" s="5">
        <f>V21</f>
        <v>1.9206360111890857</v>
      </c>
      <c r="K26" s="5">
        <f t="shared" ref="K26:M26" si="13">W21</f>
        <v>1.9645098388565547</v>
      </c>
      <c r="L26" s="5">
        <f t="shared" si="13"/>
        <v>1.9420447284345048</v>
      </c>
      <c r="M26" s="5">
        <f t="shared" si="13"/>
        <v>1.9225406396971294</v>
      </c>
    </row>
    <row r="27" spans="1:97" ht="15.75" x14ac:dyDescent="0.25">
      <c r="A27" s="2"/>
      <c r="B27" s="3">
        <f>Z21</f>
        <v>1.1229581982697778</v>
      </c>
      <c r="C27" s="3">
        <f t="shared" ref="C27:E27" si="14">AA21</f>
        <v>1.1142762756657858</v>
      </c>
      <c r="D27" s="3">
        <f t="shared" si="14"/>
        <v>1.11253612942781</v>
      </c>
      <c r="E27" s="3">
        <f t="shared" si="14"/>
        <v>1.0829436256852953</v>
      </c>
      <c r="F27" s="4">
        <f>AD21</f>
        <v>1.4943814741698644</v>
      </c>
      <c r="G27" s="4">
        <f t="shared" ref="G27:I27" si="15">AE21</f>
        <v>1.4244472221024955</v>
      </c>
      <c r="H27" s="4">
        <f t="shared" si="15"/>
        <v>1.3995075077139936</v>
      </c>
      <c r="I27" s="4">
        <f t="shared" si="15"/>
        <v>1.2851474016633322</v>
      </c>
      <c r="J27" s="5">
        <f>AH21</f>
        <v>1.3930209944183376</v>
      </c>
      <c r="K27" s="5">
        <f t="shared" ref="K27:M27" si="16">AI21</f>
        <v>1.2917067666677728</v>
      </c>
      <c r="L27" s="5">
        <f t="shared" si="16"/>
        <v>1.2510316768381284</v>
      </c>
      <c r="M27" s="5">
        <f t="shared" si="16"/>
        <v>1.2169460662707461</v>
      </c>
    </row>
    <row r="28" spans="1:97" ht="15.75" x14ac:dyDescent="0.25">
      <c r="A28" s="2"/>
      <c r="B28" s="3">
        <f>AL21</f>
        <v>0.92915185270574718</v>
      </c>
      <c r="C28" s="3">
        <f t="shared" ref="C28:E28" si="17">AM21</f>
        <v>0.92834593134423082</v>
      </c>
      <c r="D28" s="3">
        <f t="shared" si="17"/>
        <v>0.92726897110872042</v>
      </c>
      <c r="E28" s="3">
        <f t="shared" si="17"/>
        <v>0.93319906794843277</v>
      </c>
      <c r="F28" s="4">
        <f>AP21</f>
        <v>0.98358910501051144</v>
      </c>
      <c r="G28" s="4">
        <f t="shared" ref="G28:I28" si="18">AQ21</f>
        <v>0.93933812219282597</v>
      </c>
      <c r="H28" s="4">
        <f t="shared" si="18"/>
        <v>0.9230575753418393</v>
      </c>
      <c r="I28" s="4">
        <f t="shared" si="18"/>
        <v>0.89318265091142257</v>
      </c>
      <c r="J28" s="5">
        <f>AT21</f>
        <v>1.0105992390490857</v>
      </c>
      <c r="K28" s="5">
        <f t="shared" ref="K28:M28" si="19">AU21</f>
        <v>0.89159814945405791</v>
      </c>
      <c r="L28" s="5">
        <f t="shared" si="19"/>
        <v>0.85165748141019371</v>
      </c>
      <c r="M28" s="5">
        <f t="shared" si="19"/>
        <v>0.83436540055585351</v>
      </c>
    </row>
    <row r="29" spans="1:97" ht="15.75" x14ac:dyDescent="0.25">
      <c r="A29" s="2"/>
      <c r="B29" s="3">
        <f>AX21</f>
        <v>0.79730186705071238</v>
      </c>
      <c r="C29" s="3">
        <f t="shared" ref="C29:E29" si="20">AY21</f>
        <v>0.79393799434212808</v>
      </c>
      <c r="D29" s="3">
        <f t="shared" si="20"/>
        <v>0.7737759961089189</v>
      </c>
      <c r="E29" s="3">
        <f t="shared" si="20"/>
        <v>0.76041417791124655</v>
      </c>
      <c r="F29" s="4">
        <f>BB21</f>
        <v>0.74626882172153797</v>
      </c>
      <c r="G29" s="4">
        <f t="shared" ref="G29:I29" si="21">BC21</f>
        <v>0.75918576602760335</v>
      </c>
      <c r="H29" s="4">
        <f t="shared" si="21"/>
        <v>0.75764679781097466</v>
      </c>
      <c r="I29" s="4">
        <f t="shared" si="21"/>
        <v>0.74586750834056126</v>
      </c>
      <c r="J29" s="5">
        <f>BF21</f>
        <v>0.75024329465194117</v>
      </c>
      <c r="K29" s="5">
        <f t="shared" ref="K29:M29" si="22">BG21</f>
        <v>0.72761090808497009</v>
      </c>
      <c r="L29" s="5">
        <f t="shared" si="22"/>
        <v>0.7332666569682863</v>
      </c>
      <c r="M29" s="5">
        <f t="shared" si="22"/>
        <v>0.73258376116568236</v>
      </c>
    </row>
    <row r="30" spans="1:97" ht="15.75" x14ac:dyDescent="0.25">
      <c r="A30" s="6"/>
      <c r="B30" s="3">
        <f>BJ21</f>
        <v>0.715139379039613</v>
      </c>
      <c r="C30" s="3">
        <f t="shared" ref="C30:E30" si="23">BK21</f>
        <v>0.71528677558593301</v>
      </c>
      <c r="D30" s="3">
        <f t="shared" si="23"/>
        <v>0.70890852336643551</v>
      </c>
      <c r="E30" s="3">
        <f t="shared" si="23"/>
        <v>0.70208521543538782</v>
      </c>
      <c r="F30" s="4">
        <f>BN21</f>
        <v>0.70270631970260222</v>
      </c>
      <c r="G30" s="4">
        <f t="shared" ref="G30:I30" si="24">BO21</f>
        <v>0.70072270545615034</v>
      </c>
      <c r="H30" s="4">
        <f t="shared" si="24"/>
        <v>0.70396983810157465</v>
      </c>
      <c r="I30" s="4">
        <f t="shared" si="24"/>
        <v>0.70582270139664294</v>
      </c>
      <c r="J30" s="5">
        <f>BR21</f>
        <v>0.69834006806783333</v>
      </c>
      <c r="K30" s="5">
        <f t="shared" ref="K30:M30" si="25">BS21</f>
        <v>0.6877885984723161</v>
      </c>
      <c r="L30" s="5">
        <f t="shared" si="25"/>
        <v>0.69015296158900008</v>
      </c>
      <c r="M30" s="5">
        <f t="shared" si="25"/>
        <v>0.6909442873725079</v>
      </c>
      <c r="Q30">
        <v>72</v>
      </c>
      <c r="U30">
        <v>73</v>
      </c>
      <c r="X30" t="s">
        <v>106</v>
      </c>
    </row>
    <row r="31" spans="1:97" ht="16.5" thickBot="1" x14ac:dyDescent="0.3">
      <c r="A31" s="7"/>
      <c r="B31" s="3">
        <f>BV21</f>
        <v>0.69824488169553911</v>
      </c>
      <c r="C31" s="3">
        <f t="shared" ref="C31:E31" si="26">BW21</f>
        <v>0.69886180342863213</v>
      </c>
      <c r="D31" s="3">
        <f t="shared" si="26"/>
        <v>0.69272066889683959</v>
      </c>
      <c r="E31" s="3">
        <f t="shared" si="26"/>
        <v>0.68535389975737504</v>
      </c>
      <c r="F31" s="4">
        <f>BZ21</f>
        <v>0.68119833543600661</v>
      </c>
      <c r="G31" s="4">
        <f t="shared" ref="G31:I31" si="27">CA21</f>
        <v>0.68833981562326363</v>
      </c>
      <c r="H31" s="4">
        <f t="shared" si="27"/>
        <v>0.68571663085004775</v>
      </c>
      <c r="I31" s="4">
        <f t="shared" si="27"/>
        <v>0.68430271743558213</v>
      </c>
      <c r="J31" s="5">
        <f>CD21</f>
        <v>0.6755116795808902</v>
      </c>
      <c r="K31" s="5">
        <f t="shared" ref="K31:M31" si="28">CE21</f>
        <v>0.67755020169827718</v>
      </c>
      <c r="L31" s="5">
        <f t="shared" si="28"/>
        <v>0.68544498351912897</v>
      </c>
      <c r="M31" s="5">
        <f t="shared" si="28"/>
        <v>0.67038667026136223</v>
      </c>
      <c r="R31" t="s">
        <v>107</v>
      </c>
      <c r="S31" t="s">
        <v>108</v>
      </c>
      <c r="T31" t="s">
        <v>109</v>
      </c>
      <c r="U31" t="s">
        <v>107</v>
      </c>
      <c r="V31" t="s">
        <v>108</v>
      </c>
      <c r="W31" t="s">
        <v>109</v>
      </c>
      <c r="X31" t="s">
        <v>107</v>
      </c>
      <c r="Y31" t="s">
        <v>108</v>
      </c>
      <c r="Z31" t="s">
        <v>109</v>
      </c>
    </row>
    <row r="32" spans="1:97" x14ac:dyDescent="0.25">
      <c r="A32" s="1"/>
      <c r="B32" s="3">
        <f>CH21</f>
        <v>0.66870980949399095</v>
      </c>
      <c r="C32" s="3">
        <f t="shared" ref="C32:E32" si="29">CI21</f>
        <v>0.66542835690053026</v>
      </c>
      <c r="D32" s="3">
        <f t="shared" si="29"/>
        <v>0.66174094397311034</v>
      </c>
      <c r="E32" s="3">
        <f t="shared" si="29"/>
        <v>0.66180101557525972</v>
      </c>
      <c r="F32" s="4">
        <f>CL21</f>
        <v>3.1783868245010707</v>
      </c>
      <c r="G32" s="4">
        <f t="shared" ref="G32:I32" si="30">CM21</f>
        <v>3.0904908086767833</v>
      </c>
      <c r="H32" s="4">
        <f t="shared" si="30"/>
        <v>3.0739184498920498</v>
      </c>
      <c r="I32" s="4">
        <f t="shared" si="30"/>
        <v>3.1627734791889006</v>
      </c>
      <c r="J32" s="5">
        <f>CP21</f>
        <v>3.4950374059522709</v>
      </c>
      <c r="K32" s="5">
        <f t="shared" ref="K32:M32" si="31">CQ21</f>
        <v>3.4941449519991559</v>
      </c>
      <c r="L32" s="5">
        <f t="shared" si="31"/>
        <v>3.5458651891303727</v>
      </c>
      <c r="M32" s="5">
        <f t="shared" si="31"/>
        <v>3.5231877093649233</v>
      </c>
      <c r="R32">
        <v>30</v>
      </c>
      <c r="S32">
        <f>AVERAGE(B40:E40)</f>
        <v>48.041802454620303</v>
      </c>
      <c r="T32">
        <f>STDEV(B40:E40)</f>
        <v>0.87947521660218164</v>
      </c>
      <c r="U32">
        <v>10</v>
      </c>
      <c r="V32">
        <f>AVERAGE(F40:I40)</f>
        <v>84.026671998158804</v>
      </c>
      <c r="W32">
        <f>STDEV(F40:I40)</f>
        <v>1.4646389501337551</v>
      </c>
      <c r="X32">
        <v>15</v>
      </c>
      <c r="Y32">
        <f>AVERAGE(J40:M40)</f>
        <v>76.855766158579655</v>
      </c>
      <c r="Z32">
        <f>STDEV(J40:M40)</f>
        <v>0.73163129856733866</v>
      </c>
    </row>
    <row r="33" spans="1:26" x14ac:dyDescent="0.25">
      <c r="R33">
        <v>20</v>
      </c>
      <c r="S33">
        <f t="shared" ref="S33:S38" si="32">AVERAGE(B41:E41)</f>
        <v>26.833064714102157</v>
      </c>
      <c r="T33">
        <f t="shared" ref="T33:T38" si="33">STDEV(B41:E41)</f>
        <v>0.81521437598971658</v>
      </c>
      <c r="U33">
        <v>5</v>
      </c>
      <c r="V33">
        <f t="shared" ref="V33:V38" si="34">AVERAGE(F41:I41)</f>
        <v>55.933511903954575</v>
      </c>
      <c r="W33">
        <f t="shared" ref="W33:W38" si="35">STDEV(F41:I41)</f>
        <v>0.81497292687522094</v>
      </c>
      <c r="X33">
        <v>7.5</v>
      </c>
      <c r="Y33">
        <f t="shared" ref="Y33:Y38" si="36">AVERAGE(J41:M41)</f>
        <v>47.928694980204014</v>
      </c>
      <c r="Z33">
        <f t="shared" ref="Z33:Z38" si="37">STDEV(J41:M41)</f>
        <v>0.7710845259520398</v>
      </c>
    </row>
    <row r="34" spans="1:26" x14ac:dyDescent="0.25">
      <c r="A34" t="s">
        <v>99</v>
      </c>
      <c r="C34" s="3">
        <f>AVERAGE(F32:M32)</f>
        <v>3.3204756023381905</v>
      </c>
      <c r="G34" s="4"/>
      <c r="K34" s="5"/>
      <c r="R34">
        <v>13.333333333333334</v>
      </c>
      <c r="S34">
        <f t="shared" si="32"/>
        <v>16.707426254414511</v>
      </c>
      <c r="T34">
        <f t="shared" si="33"/>
        <v>0.65623463704779239</v>
      </c>
      <c r="U34">
        <v>2.5</v>
      </c>
      <c r="V34">
        <f t="shared" si="34"/>
        <v>27.727238767460456</v>
      </c>
      <c r="W34">
        <f t="shared" si="35"/>
        <v>3.2745858114665398</v>
      </c>
      <c r="X34">
        <v>3.75</v>
      </c>
      <c r="Y34">
        <f t="shared" si="36"/>
        <v>23.484310773016965</v>
      </c>
      <c r="Z34">
        <f t="shared" si="37"/>
        <v>2.8721276030378164</v>
      </c>
    </row>
    <row r="35" spans="1:26" x14ac:dyDescent="0.25">
      <c r="R35">
        <v>8.8888888888888893</v>
      </c>
      <c r="S35">
        <f t="shared" si="32"/>
        <v>9.9798899992888579</v>
      </c>
      <c r="T35">
        <f t="shared" si="33"/>
        <v>9.7486566051214932E-2</v>
      </c>
      <c r="U35">
        <v>1.25</v>
      </c>
      <c r="V35">
        <f t="shared" si="34"/>
        <v>10.179449362637033</v>
      </c>
      <c r="W35">
        <f t="shared" si="35"/>
        <v>1.4205608757588974</v>
      </c>
      <c r="X35">
        <v>1.875</v>
      </c>
      <c r="Y35">
        <f t="shared" si="36"/>
        <v>8.7586659964689701</v>
      </c>
      <c r="Z35">
        <f t="shared" si="37"/>
        <v>2.9893883312121408</v>
      </c>
    </row>
    <row r="36" spans="1:26" x14ac:dyDescent="0.25">
      <c r="A36" t="s">
        <v>100</v>
      </c>
      <c r="C36" s="3">
        <f>AVERAGE(B32:E32)</f>
        <v>0.66442003148572282</v>
      </c>
      <c r="G36" s="8"/>
      <c r="K36" s="5"/>
      <c r="R36">
        <v>5.9259259259259265</v>
      </c>
      <c r="S36">
        <f t="shared" si="32"/>
        <v>4.4026743510489608</v>
      </c>
      <c r="T36">
        <f t="shared" si="33"/>
        <v>0.65521986639796392</v>
      </c>
      <c r="U36">
        <v>0.625</v>
      </c>
      <c r="V36">
        <f t="shared" si="34"/>
        <v>3.3064892524541469</v>
      </c>
      <c r="W36">
        <f t="shared" si="35"/>
        <v>0.26952352792403178</v>
      </c>
      <c r="X36">
        <v>0.9375</v>
      </c>
      <c r="Y36">
        <f t="shared" si="36"/>
        <v>2.6921923063924105</v>
      </c>
      <c r="Z36">
        <f t="shared" si="37"/>
        <v>0.37167845773297192</v>
      </c>
    </row>
    <row r="37" spans="1:26" x14ac:dyDescent="0.25">
      <c r="R37">
        <v>3.9506172839506175</v>
      </c>
      <c r="S37">
        <f t="shared" si="32"/>
        <v>1.7294420483972246</v>
      </c>
      <c r="T37">
        <f t="shared" si="33"/>
        <v>0.23581964211483833</v>
      </c>
      <c r="U37">
        <v>0.3125</v>
      </c>
      <c r="V37">
        <f t="shared" si="34"/>
        <v>1.4640265853338064</v>
      </c>
      <c r="W37">
        <f t="shared" si="35"/>
        <v>8.0771774718347414E-2</v>
      </c>
      <c r="X37">
        <v>0.46875</v>
      </c>
      <c r="Y37">
        <f t="shared" si="36"/>
        <v>1.0310946687347278</v>
      </c>
      <c r="Z37">
        <f t="shared" si="37"/>
        <v>0.1715838334189233</v>
      </c>
    </row>
    <row r="38" spans="1:26" x14ac:dyDescent="0.25">
      <c r="R38">
        <v>2.6337448559670782</v>
      </c>
      <c r="S38">
        <f t="shared" si="32"/>
        <v>1.1059739216768563</v>
      </c>
      <c r="T38">
        <f t="shared" si="33"/>
        <v>0.23600588879591985</v>
      </c>
      <c r="U38">
        <v>0.15625</v>
      </c>
      <c r="V38">
        <f t="shared" si="34"/>
        <v>0.77066698359524621</v>
      </c>
      <c r="W38">
        <f t="shared" si="35"/>
        <v>0.11202076453782329</v>
      </c>
      <c r="X38">
        <v>0.234375</v>
      </c>
      <c r="Y38">
        <f t="shared" si="36"/>
        <v>0.48204384048646087</v>
      </c>
      <c r="Z38">
        <f t="shared" si="37"/>
        <v>0.23549660146210835</v>
      </c>
    </row>
    <row r="39" spans="1:26" x14ac:dyDescent="0.25">
      <c r="A39" s="9" t="s">
        <v>102</v>
      </c>
    </row>
    <row r="40" spans="1:26" ht="15.75" x14ac:dyDescent="0.25">
      <c r="A40" s="2"/>
      <c r="B40" s="3">
        <f>(B25-$C$36)/($C$34-$C$36)*100</f>
        <v>47.467950590551034</v>
      </c>
      <c r="C40" s="3">
        <f t="shared" ref="C40:M47" si="38">(C25-$C$36)/($C$34-$C$36)*100</f>
        <v>47.630490159373231</v>
      </c>
      <c r="D40" s="3">
        <f t="shared" si="38"/>
        <v>49.351902727756283</v>
      </c>
      <c r="E40" s="3">
        <f t="shared" si="38"/>
        <v>47.716866340800671</v>
      </c>
      <c r="F40" s="3">
        <f t="shared" si="38"/>
        <v>84.276643449615165</v>
      </c>
      <c r="G40" s="3">
        <f t="shared" si="38"/>
        <v>83.950055335968798</v>
      </c>
      <c r="H40" s="3">
        <f t="shared" si="38"/>
        <v>82.157844219607711</v>
      </c>
      <c r="I40" s="3">
        <f t="shared" si="38"/>
        <v>85.722144987443556</v>
      </c>
      <c r="J40" s="3">
        <f t="shared" si="38"/>
        <v>77.225964725914537</v>
      </c>
      <c r="K40" s="3">
        <f t="shared" si="38"/>
        <v>76.523428729043573</v>
      </c>
      <c r="L40" s="3">
        <f t="shared" si="38"/>
        <v>77.660741285717378</v>
      </c>
      <c r="M40" s="3">
        <f t="shared" si="38"/>
        <v>76.012929893643133</v>
      </c>
    </row>
    <row r="41" spans="1:26" ht="15.75" x14ac:dyDescent="0.25">
      <c r="A41" s="2"/>
      <c r="B41" s="3">
        <f t="shared" ref="B41:F47" si="39">(B26-$C$36)/($C$34-$C$36)*100</f>
        <v>25.82281372668626</v>
      </c>
      <c r="C41" s="3">
        <f t="shared" si="39"/>
        <v>27.806902996372141</v>
      </c>
      <c r="D41" s="3">
        <f t="shared" si="39"/>
        <v>26.961026331522721</v>
      </c>
      <c r="E41" s="3">
        <f t="shared" si="39"/>
        <v>26.741515801827497</v>
      </c>
      <c r="F41" s="3">
        <f t="shared" si="39"/>
        <v>54.908186118541039</v>
      </c>
      <c r="G41" s="3">
        <f t="shared" si="38"/>
        <v>56.522097137183444</v>
      </c>
      <c r="H41" s="3">
        <f t="shared" si="38"/>
        <v>55.652159298517333</v>
      </c>
      <c r="I41" s="3">
        <f t="shared" si="38"/>
        <v>56.651605061576483</v>
      </c>
      <c r="J41" s="3">
        <f t="shared" si="38"/>
        <v>47.296298823302749</v>
      </c>
      <c r="K41" s="3">
        <f t="shared" si="38"/>
        <v>48.948140303915579</v>
      </c>
      <c r="L41" s="3">
        <f t="shared" si="38"/>
        <v>48.10233305994894</v>
      </c>
      <c r="M41" s="3">
        <f t="shared" si="38"/>
        <v>47.368007733648795</v>
      </c>
    </row>
    <row r="42" spans="1:26" ht="15.75" x14ac:dyDescent="0.25">
      <c r="A42" s="2"/>
      <c r="B42" s="3">
        <f t="shared" si="39"/>
        <v>17.263876999263459</v>
      </c>
      <c r="C42" s="3">
        <f t="shared" si="39"/>
        <v>16.937004222230204</v>
      </c>
      <c r="D42" s="3">
        <f t="shared" si="39"/>
        <v>16.871488038868975</v>
      </c>
      <c r="E42" s="3">
        <f t="shared" si="39"/>
        <v>15.757335757295406</v>
      </c>
      <c r="F42" s="3">
        <f t="shared" si="39"/>
        <v>31.247894501611022</v>
      </c>
      <c r="G42" s="3">
        <f t="shared" si="38"/>
        <v>28.614882872079367</v>
      </c>
      <c r="H42" s="3">
        <f t="shared" si="38"/>
        <v>27.675907247390256</v>
      </c>
      <c r="I42" s="3">
        <f t="shared" si="38"/>
        <v>23.370270448761183</v>
      </c>
      <c r="J42" s="3">
        <f t="shared" si="38"/>
        <v>27.4316912239441</v>
      </c>
      <c r="K42" s="3">
        <f t="shared" si="38"/>
        <v>23.617229325541587</v>
      </c>
      <c r="L42" s="3">
        <f t="shared" si="38"/>
        <v>22.085819731705804</v>
      </c>
      <c r="M42" s="3">
        <f t="shared" si="38"/>
        <v>20.802502810876376</v>
      </c>
    </row>
    <row r="43" spans="1:26" ht="15.75" x14ac:dyDescent="0.25">
      <c r="A43" s="2"/>
      <c r="B43" s="3">
        <f t="shared" si="39"/>
        <v>9.967104006602467</v>
      </c>
      <c r="C43" s="3">
        <f t="shared" si="39"/>
        <v>9.9367612167015125</v>
      </c>
      <c r="D43" s="3">
        <f t="shared" si="39"/>
        <v>9.896213863425892</v>
      </c>
      <c r="E43" s="3">
        <f t="shared" si="39"/>
        <v>10.119480910425555</v>
      </c>
      <c r="F43" s="3">
        <f t="shared" si="39"/>
        <v>12.016656467106616</v>
      </c>
      <c r="G43" s="3">
        <f t="shared" si="38"/>
        <v>10.350615164985705</v>
      </c>
      <c r="H43" s="3">
        <f t="shared" si="38"/>
        <v>9.7376555932941606</v>
      </c>
      <c r="I43" s="3">
        <f t="shared" si="38"/>
        <v>8.6128702251616609</v>
      </c>
      <c r="J43" s="3">
        <f t="shared" si="38"/>
        <v>13.033583007913338</v>
      </c>
      <c r="K43" s="3">
        <f t="shared" si="38"/>
        <v>8.5532140389450397</v>
      </c>
      <c r="L43" s="3">
        <f t="shared" si="38"/>
        <v>7.0494552892346505</v>
      </c>
      <c r="M43" s="3">
        <f t="shared" si="38"/>
        <v>6.3984116497828509</v>
      </c>
    </row>
    <row r="44" spans="1:26" ht="15.75" x14ac:dyDescent="0.25">
      <c r="A44" s="2"/>
      <c r="B44" s="3">
        <f t="shared" si="39"/>
        <v>5.0029764822405731</v>
      </c>
      <c r="C44" s="3">
        <f t="shared" si="39"/>
        <v>4.8763272981836048</v>
      </c>
      <c r="D44" s="3">
        <f t="shared" si="39"/>
        <v>4.1172318012946549</v>
      </c>
      <c r="E44" s="3">
        <f t="shared" si="39"/>
        <v>3.6141618224770111</v>
      </c>
      <c r="F44" s="3">
        <f t="shared" si="39"/>
        <v>3.0815917834710653</v>
      </c>
      <c r="G44" s="3">
        <f t="shared" si="38"/>
        <v>3.5679123427174844</v>
      </c>
      <c r="H44" s="3">
        <f t="shared" si="38"/>
        <v>3.5099704745759692</v>
      </c>
      <c r="I44" s="3">
        <f t="shared" si="38"/>
        <v>3.0664824090520693</v>
      </c>
      <c r="J44" s="3">
        <f t="shared" si="38"/>
        <v>3.2312299527179378</v>
      </c>
      <c r="K44" s="3">
        <f t="shared" si="38"/>
        <v>2.3791247928960311</v>
      </c>
      <c r="L44" s="3">
        <f t="shared" si="38"/>
        <v>2.5920626901818542</v>
      </c>
      <c r="M44" s="3">
        <f t="shared" si="38"/>
        <v>2.5663517897738193</v>
      </c>
    </row>
    <row r="45" spans="1:26" ht="15.75" x14ac:dyDescent="0.25">
      <c r="A45" s="6"/>
      <c r="B45" s="3">
        <f t="shared" si="39"/>
        <v>1.9095740356671709</v>
      </c>
      <c r="C45" s="3">
        <f t="shared" si="39"/>
        <v>1.9151234883193493</v>
      </c>
      <c r="D45" s="3">
        <f t="shared" si="39"/>
        <v>1.674983474326706</v>
      </c>
      <c r="E45" s="3">
        <f t="shared" si="39"/>
        <v>1.4180871952756722</v>
      </c>
      <c r="F45" s="3">
        <f t="shared" si="39"/>
        <v>1.4414716558280189</v>
      </c>
      <c r="G45" s="3">
        <f t="shared" si="38"/>
        <v>1.3667889470692094</v>
      </c>
      <c r="H45" s="3">
        <f t="shared" si="38"/>
        <v>1.4890428893834562</v>
      </c>
      <c r="I45" s="3">
        <f t="shared" si="38"/>
        <v>1.5588028490545409</v>
      </c>
      <c r="J45" s="3">
        <f t="shared" si="38"/>
        <v>1.2770830909695081</v>
      </c>
      <c r="K45" s="3">
        <f t="shared" si="38"/>
        <v>0.87982221618552525</v>
      </c>
      <c r="L45" s="3">
        <f t="shared" si="38"/>
        <v>0.96884004934498469</v>
      </c>
      <c r="M45" s="3">
        <f t="shared" si="38"/>
        <v>0.99863331843889314</v>
      </c>
    </row>
    <row r="46" spans="1:26" ht="16.5" thickBot="1" x14ac:dyDescent="0.3">
      <c r="A46" s="7"/>
      <c r="B46" s="3">
        <f t="shared" si="39"/>
        <v>1.2734993416933713</v>
      </c>
      <c r="C46" s="3">
        <f t="shared" si="39"/>
        <v>1.2967263306111907</v>
      </c>
      <c r="D46" s="3">
        <f t="shared" si="39"/>
        <v>1.0655137536159911</v>
      </c>
      <c r="E46" s="3">
        <f t="shared" si="39"/>
        <v>0.78815626078687218</v>
      </c>
      <c r="F46" s="3">
        <f t="shared" si="39"/>
        <v>0.63170003423154097</v>
      </c>
      <c r="G46" s="3">
        <f t="shared" si="38"/>
        <v>0.90057543976249321</v>
      </c>
      <c r="H46" s="3">
        <f t="shared" si="38"/>
        <v>0.80181301920161752</v>
      </c>
      <c r="I46" s="3">
        <f t="shared" si="38"/>
        <v>0.74857944118533315</v>
      </c>
      <c r="J46" s="3">
        <f t="shared" si="38"/>
        <v>0.41759849518538089</v>
      </c>
      <c r="K46" s="3">
        <f t="shared" si="38"/>
        <v>0.49434847510890734</v>
      </c>
      <c r="L46" s="3">
        <f t="shared" si="38"/>
        <v>0.79158554753649757</v>
      </c>
      <c r="M46" s="3">
        <f t="shared" si="38"/>
        <v>0.22464284411505753</v>
      </c>
    </row>
    <row r="47" spans="1:26" x14ac:dyDescent="0.25">
      <c r="A47" s="1"/>
      <c r="B47" s="3">
        <f t="shared" si="39"/>
        <v>0.16150934699349365</v>
      </c>
      <c r="C47" s="3">
        <f t="shared" si="39"/>
        <v>3.79632649961393E-2</v>
      </c>
      <c r="D47" s="3">
        <f t="shared" si="39"/>
        <v>-0.10086714833879085</v>
      </c>
      <c r="E47" s="3">
        <f t="shared" si="39"/>
        <v>-9.8605463650842079E-2</v>
      </c>
      <c r="F47" s="3">
        <f t="shared" si="39"/>
        <v>94.650383847521837</v>
      </c>
      <c r="G47" s="3">
        <f t="shared" si="38"/>
        <v>91.341115141367581</v>
      </c>
      <c r="H47" s="3">
        <f t="shared" si="38"/>
        <v>90.717168904451512</v>
      </c>
      <c r="I47" s="3">
        <f t="shared" si="38"/>
        <v>94.062544290115326</v>
      </c>
      <c r="J47" s="3">
        <f t="shared" si="38"/>
        <v>106.572219554806</v>
      </c>
      <c r="K47" s="3">
        <f t="shared" si="38"/>
        <v>106.53861882886832</v>
      </c>
      <c r="L47" s="3">
        <f t="shared" si="38"/>
        <v>108.48587617162855</v>
      </c>
      <c r="M47" s="3">
        <f t="shared" si="38"/>
        <v>107.63207326124098</v>
      </c>
    </row>
  </sheetData>
  <mergeCells count="6">
    <mergeCell ref="B12:E12"/>
    <mergeCell ref="F12:I12"/>
    <mergeCell ref="J12:M12"/>
    <mergeCell ref="B3:E3"/>
    <mergeCell ref="F3:I3"/>
    <mergeCell ref="J3:M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</vt:lpstr>
      <vt:lpstr>Plate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Haynes, Cally</dc:creator>
  <cp:lastModifiedBy>Thomas Allam</cp:lastModifiedBy>
  <dcterms:created xsi:type="dcterms:W3CDTF">2025-09-10T12:47:32Z</dcterms:created>
  <dcterms:modified xsi:type="dcterms:W3CDTF">2025-11-19T22:07:44Z</dcterms:modified>
</cp:coreProperties>
</file>