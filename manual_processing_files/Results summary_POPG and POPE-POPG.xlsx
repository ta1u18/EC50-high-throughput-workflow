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ta1u18_soton_ac_uk/Documents/PhD work/repos/ssa_workflow_processing_code/prototyping/EC50/paper_workflow/manual/results/"/>
    </mc:Choice>
  </mc:AlternateContent>
  <xr:revisionPtr revIDLastSave="564" documentId="8_{0F69DE4C-05C7-4762-8E33-3E56BFFC60FE}" xr6:coauthVersionLast="47" xr6:coauthVersionMax="47" xr10:uidLastSave="{44BCA651-F12C-4BCC-8313-23B7B976FB3F}"/>
  <bookViews>
    <workbookView xWindow="-120" yWindow="-120" windowWidth="29040" windowHeight="15720" activeTab="1" xr2:uid="{C313D4E8-5FC3-46EB-8CF5-17465BC23609}"/>
  </bookViews>
  <sheets>
    <sheet name="Plate A1 POPG" sheetId="1" r:id="rId1"/>
    <sheet name="Plate A2 POPG" sheetId="11" r:id="rId2"/>
    <sheet name="Plate B1 POPE-POPG" sheetId="13" r:id="rId3"/>
    <sheet name="Plate B2 POPE-POPG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8" i="11" l="1"/>
  <c r="V32" i="14" l="1"/>
  <c r="U29" i="13"/>
  <c r="R30" i="13"/>
  <c r="C34" i="13"/>
  <c r="C34" i="11"/>
  <c r="U28" i="1"/>
  <c r="C34" i="1"/>
  <c r="K41" i="13"/>
  <c r="S32" i="14"/>
  <c r="F43" i="14"/>
  <c r="H32" i="14"/>
  <c r="C34" i="14"/>
  <c r="X34" i="14"/>
  <c r="X35" i="14" s="1"/>
  <c r="X36" i="14" s="1"/>
  <c r="X37" i="14" s="1"/>
  <c r="X38" i="14" s="1"/>
  <c r="X33" i="14"/>
  <c r="U33" i="14"/>
  <c r="U34" i="14" s="1"/>
  <c r="U35" i="14" s="1"/>
  <c r="U36" i="14" s="1"/>
  <c r="U37" i="14" s="1"/>
  <c r="U38" i="14" s="1"/>
  <c r="CS21" i="14"/>
  <c r="M32" i="14" s="1"/>
  <c r="CR21" i="14"/>
  <c r="L32" i="14" s="1"/>
  <c r="CQ21" i="14"/>
  <c r="K32" i="14" s="1"/>
  <c r="CP21" i="14"/>
  <c r="J32" i="14" s="1"/>
  <c r="CO21" i="14"/>
  <c r="I32" i="14" s="1"/>
  <c r="CN21" i="14"/>
  <c r="CM21" i="14"/>
  <c r="G32" i="14" s="1"/>
  <c r="CL21" i="14"/>
  <c r="F32" i="14" s="1"/>
  <c r="CK21" i="14"/>
  <c r="E32" i="14" s="1"/>
  <c r="CJ21" i="14"/>
  <c r="D32" i="14" s="1"/>
  <c r="CI21" i="14"/>
  <c r="C32" i="14" s="1"/>
  <c r="CH21" i="14"/>
  <c r="B32" i="14" s="1"/>
  <c r="CG21" i="14"/>
  <c r="M31" i="14" s="1"/>
  <c r="CF21" i="14"/>
  <c r="L31" i="14" s="1"/>
  <c r="CE21" i="14"/>
  <c r="K31" i="14" s="1"/>
  <c r="CD21" i="14"/>
  <c r="J31" i="14" s="1"/>
  <c r="CC21" i="14"/>
  <c r="I31" i="14" s="1"/>
  <c r="CB21" i="14"/>
  <c r="H31" i="14" s="1"/>
  <c r="CA21" i="14"/>
  <c r="G31" i="14" s="1"/>
  <c r="BZ21" i="14"/>
  <c r="F31" i="14" s="1"/>
  <c r="BY21" i="14"/>
  <c r="E31" i="14" s="1"/>
  <c r="BX21" i="14"/>
  <c r="D31" i="14" s="1"/>
  <c r="BW21" i="14"/>
  <c r="C31" i="14" s="1"/>
  <c r="BV21" i="14"/>
  <c r="B31" i="14" s="1"/>
  <c r="BU21" i="14"/>
  <c r="M30" i="14" s="1"/>
  <c r="BT21" i="14"/>
  <c r="L30" i="14" s="1"/>
  <c r="BS21" i="14"/>
  <c r="K30" i="14" s="1"/>
  <c r="BR21" i="14"/>
  <c r="J30" i="14" s="1"/>
  <c r="BQ21" i="14"/>
  <c r="I30" i="14" s="1"/>
  <c r="BP21" i="14"/>
  <c r="H30" i="14" s="1"/>
  <c r="BO21" i="14"/>
  <c r="G30" i="14" s="1"/>
  <c r="BN21" i="14"/>
  <c r="F30" i="14" s="1"/>
  <c r="BM21" i="14"/>
  <c r="E30" i="14" s="1"/>
  <c r="BL21" i="14"/>
  <c r="D30" i="14" s="1"/>
  <c r="BK21" i="14"/>
  <c r="C30" i="14" s="1"/>
  <c r="BJ21" i="14"/>
  <c r="B30" i="14" s="1"/>
  <c r="BI21" i="14"/>
  <c r="M29" i="14" s="1"/>
  <c r="BH21" i="14"/>
  <c r="L29" i="14" s="1"/>
  <c r="BG21" i="14"/>
  <c r="K29" i="14" s="1"/>
  <c r="BF21" i="14"/>
  <c r="J29" i="14" s="1"/>
  <c r="BE21" i="14"/>
  <c r="I29" i="14" s="1"/>
  <c r="BD21" i="14"/>
  <c r="H29" i="14" s="1"/>
  <c r="BC21" i="14"/>
  <c r="G29" i="14" s="1"/>
  <c r="BB21" i="14"/>
  <c r="F29" i="14" s="1"/>
  <c r="BA21" i="14"/>
  <c r="E29" i="14" s="1"/>
  <c r="AZ21" i="14"/>
  <c r="D29" i="14" s="1"/>
  <c r="AY21" i="14"/>
  <c r="C29" i="14" s="1"/>
  <c r="AX21" i="14"/>
  <c r="B29" i="14" s="1"/>
  <c r="AW21" i="14"/>
  <c r="M28" i="14" s="1"/>
  <c r="AV21" i="14"/>
  <c r="L28" i="14" s="1"/>
  <c r="AU21" i="14"/>
  <c r="K28" i="14" s="1"/>
  <c r="AT21" i="14"/>
  <c r="J28" i="14" s="1"/>
  <c r="AS21" i="14"/>
  <c r="I28" i="14" s="1"/>
  <c r="AR21" i="14"/>
  <c r="H28" i="14" s="1"/>
  <c r="AQ21" i="14"/>
  <c r="G28" i="14" s="1"/>
  <c r="AP21" i="14"/>
  <c r="F28" i="14" s="1"/>
  <c r="AO21" i="14"/>
  <c r="E28" i="14" s="1"/>
  <c r="AN21" i="14"/>
  <c r="D28" i="14" s="1"/>
  <c r="AM21" i="14"/>
  <c r="C28" i="14" s="1"/>
  <c r="AL21" i="14"/>
  <c r="B28" i="14" s="1"/>
  <c r="AK21" i="14"/>
  <c r="M27" i="14" s="1"/>
  <c r="AJ21" i="14"/>
  <c r="L27" i="14" s="1"/>
  <c r="AI21" i="14"/>
  <c r="K27" i="14" s="1"/>
  <c r="AH21" i="14"/>
  <c r="J27" i="14" s="1"/>
  <c r="AG21" i="14"/>
  <c r="I27" i="14" s="1"/>
  <c r="AF21" i="14"/>
  <c r="H27" i="14" s="1"/>
  <c r="AE21" i="14"/>
  <c r="G27" i="14" s="1"/>
  <c r="AD21" i="14"/>
  <c r="F27" i="14" s="1"/>
  <c r="AC21" i="14"/>
  <c r="E27" i="14" s="1"/>
  <c r="AB21" i="14"/>
  <c r="D27" i="14" s="1"/>
  <c r="AA21" i="14"/>
  <c r="C27" i="14" s="1"/>
  <c r="Z21" i="14"/>
  <c r="B27" i="14" s="1"/>
  <c r="Y21" i="14"/>
  <c r="M26" i="14" s="1"/>
  <c r="X21" i="14"/>
  <c r="L26" i="14" s="1"/>
  <c r="W21" i="14"/>
  <c r="K26" i="14" s="1"/>
  <c r="V21" i="14"/>
  <c r="J26" i="14" s="1"/>
  <c r="U21" i="14"/>
  <c r="I26" i="14" s="1"/>
  <c r="T21" i="14"/>
  <c r="H26" i="14" s="1"/>
  <c r="S21" i="14"/>
  <c r="G26" i="14" s="1"/>
  <c r="R21" i="14"/>
  <c r="F26" i="14" s="1"/>
  <c r="Q21" i="14"/>
  <c r="E26" i="14" s="1"/>
  <c r="P21" i="14"/>
  <c r="D26" i="14" s="1"/>
  <c r="O21" i="14"/>
  <c r="C26" i="14" s="1"/>
  <c r="N21" i="14"/>
  <c r="B26" i="14" s="1"/>
  <c r="M21" i="14"/>
  <c r="M25" i="14" s="1"/>
  <c r="L21" i="14"/>
  <c r="L25" i="14" s="1"/>
  <c r="K21" i="14"/>
  <c r="K25" i="14" s="1"/>
  <c r="J21" i="14"/>
  <c r="J25" i="14" s="1"/>
  <c r="I21" i="14"/>
  <c r="I25" i="14" s="1"/>
  <c r="H21" i="14"/>
  <c r="H25" i="14" s="1"/>
  <c r="G21" i="14"/>
  <c r="G25" i="14" s="1"/>
  <c r="F21" i="14"/>
  <c r="F25" i="14" s="1"/>
  <c r="E21" i="14"/>
  <c r="E25" i="14" s="1"/>
  <c r="D21" i="14"/>
  <c r="D25" i="14" s="1"/>
  <c r="C21" i="14"/>
  <c r="C25" i="14" s="1"/>
  <c r="B21" i="14"/>
  <c r="B25" i="14" s="1"/>
  <c r="J6" i="14"/>
  <c r="J7" i="14" s="1"/>
  <c r="J8" i="14" s="1"/>
  <c r="J9" i="14" s="1"/>
  <c r="J10" i="14" s="1"/>
  <c r="J11" i="14" s="1"/>
  <c r="F6" i="14"/>
  <c r="F7" i="14" s="1"/>
  <c r="F8" i="14" s="1"/>
  <c r="F9" i="14" s="1"/>
  <c r="F10" i="14" s="1"/>
  <c r="F11" i="14" s="1"/>
  <c r="B6" i="14"/>
  <c r="B7" i="14" s="1"/>
  <c r="B8" i="14" s="1"/>
  <c r="B9" i="14" s="1"/>
  <c r="B10" i="14" s="1"/>
  <c r="B11" i="14" s="1"/>
  <c r="CS21" i="13"/>
  <c r="M32" i="13" s="1"/>
  <c r="CR21" i="13"/>
  <c r="L32" i="13" s="1"/>
  <c r="CQ21" i="13"/>
  <c r="K32" i="13" s="1"/>
  <c r="CP21" i="13"/>
  <c r="J32" i="13" s="1"/>
  <c r="CO21" i="13"/>
  <c r="I32" i="13" s="1"/>
  <c r="CN21" i="13"/>
  <c r="H32" i="13" s="1"/>
  <c r="CM21" i="13"/>
  <c r="G32" i="13" s="1"/>
  <c r="CL21" i="13"/>
  <c r="F32" i="13" s="1"/>
  <c r="CK21" i="13"/>
  <c r="E32" i="13" s="1"/>
  <c r="CJ21" i="13"/>
  <c r="D32" i="13" s="1"/>
  <c r="CI21" i="13"/>
  <c r="C32" i="13" s="1"/>
  <c r="CH21" i="13"/>
  <c r="B32" i="13" s="1"/>
  <c r="CG21" i="13"/>
  <c r="M31" i="13" s="1"/>
  <c r="CF21" i="13"/>
  <c r="L31" i="13" s="1"/>
  <c r="CE21" i="13"/>
  <c r="K31" i="13" s="1"/>
  <c r="CD21" i="13"/>
  <c r="J31" i="13" s="1"/>
  <c r="CC21" i="13"/>
  <c r="I31" i="13" s="1"/>
  <c r="CB21" i="13"/>
  <c r="H31" i="13" s="1"/>
  <c r="CA21" i="13"/>
  <c r="G31" i="13" s="1"/>
  <c r="BZ21" i="13"/>
  <c r="F31" i="13" s="1"/>
  <c r="BY21" i="13"/>
  <c r="E31" i="13" s="1"/>
  <c r="BX21" i="13"/>
  <c r="D31" i="13" s="1"/>
  <c r="BW21" i="13"/>
  <c r="C31" i="13" s="1"/>
  <c r="BV21" i="13"/>
  <c r="B31" i="13" s="1"/>
  <c r="BU21" i="13"/>
  <c r="M30" i="13" s="1"/>
  <c r="BT21" i="13"/>
  <c r="L30" i="13" s="1"/>
  <c r="BS21" i="13"/>
  <c r="K30" i="13" s="1"/>
  <c r="BR21" i="13"/>
  <c r="J30" i="13" s="1"/>
  <c r="BQ21" i="13"/>
  <c r="I30" i="13" s="1"/>
  <c r="BP21" i="13"/>
  <c r="H30" i="13" s="1"/>
  <c r="BO21" i="13"/>
  <c r="G30" i="13" s="1"/>
  <c r="BN21" i="13"/>
  <c r="F30" i="13" s="1"/>
  <c r="BM21" i="13"/>
  <c r="E30" i="13" s="1"/>
  <c r="BL21" i="13"/>
  <c r="D30" i="13" s="1"/>
  <c r="BK21" i="13"/>
  <c r="C30" i="13" s="1"/>
  <c r="BJ21" i="13"/>
  <c r="B30" i="13" s="1"/>
  <c r="BI21" i="13"/>
  <c r="M29" i="13" s="1"/>
  <c r="BH21" i="13"/>
  <c r="L29" i="13" s="1"/>
  <c r="BG21" i="13"/>
  <c r="K29" i="13" s="1"/>
  <c r="BF21" i="13"/>
  <c r="J29" i="13" s="1"/>
  <c r="BE21" i="13"/>
  <c r="I29" i="13" s="1"/>
  <c r="BD21" i="13"/>
  <c r="H29" i="13" s="1"/>
  <c r="BC21" i="13"/>
  <c r="G29" i="13" s="1"/>
  <c r="BB21" i="13"/>
  <c r="F29" i="13" s="1"/>
  <c r="BA21" i="13"/>
  <c r="E29" i="13" s="1"/>
  <c r="AZ21" i="13"/>
  <c r="D29" i="13" s="1"/>
  <c r="AY21" i="13"/>
  <c r="C29" i="13" s="1"/>
  <c r="AX21" i="13"/>
  <c r="B29" i="13" s="1"/>
  <c r="AW21" i="13"/>
  <c r="M28" i="13" s="1"/>
  <c r="AV21" i="13"/>
  <c r="L28" i="13" s="1"/>
  <c r="AU21" i="13"/>
  <c r="K28" i="13" s="1"/>
  <c r="AT21" i="13"/>
  <c r="J28" i="13" s="1"/>
  <c r="AS21" i="13"/>
  <c r="I28" i="13" s="1"/>
  <c r="AR21" i="13"/>
  <c r="H28" i="13" s="1"/>
  <c r="AQ21" i="13"/>
  <c r="G28" i="13" s="1"/>
  <c r="AP21" i="13"/>
  <c r="F28" i="13" s="1"/>
  <c r="AO21" i="13"/>
  <c r="E28" i="13" s="1"/>
  <c r="AN21" i="13"/>
  <c r="D28" i="13" s="1"/>
  <c r="AM21" i="13"/>
  <c r="C28" i="13" s="1"/>
  <c r="AL21" i="13"/>
  <c r="B28" i="13" s="1"/>
  <c r="AK21" i="13"/>
  <c r="M27" i="13" s="1"/>
  <c r="AJ21" i="13"/>
  <c r="L27" i="13" s="1"/>
  <c r="AI21" i="13"/>
  <c r="K27" i="13" s="1"/>
  <c r="AH21" i="13"/>
  <c r="J27" i="13" s="1"/>
  <c r="AG21" i="13"/>
  <c r="I27" i="13" s="1"/>
  <c r="AF21" i="13"/>
  <c r="H27" i="13" s="1"/>
  <c r="AE21" i="13"/>
  <c r="G27" i="13" s="1"/>
  <c r="AD21" i="13"/>
  <c r="F27" i="13" s="1"/>
  <c r="AC21" i="13"/>
  <c r="E27" i="13" s="1"/>
  <c r="AB21" i="13"/>
  <c r="D27" i="13" s="1"/>
  <c r="AA21" i="13"/>
  <c r="C27" i="13" s="1"/>
  <c r="Z21" i="13"/>
  <c r="B27" i="13" s="1"/>
  <c r="Y21" i="13"/>
  <c r="M26" i="13" s="1"/>
  <c r="X21" i="13"/>
  <c r="L26" i="13" s="1"/>
  <c r="W21" i="13"/>
  <c r="K26" i="13" s="1"/>
  <c r="V21" i="13"/>
  <c r="J26" i="13" s="1"/>
  <c r="U21" i="13"/>
  <c r="I26" i="13" s="1"/>
  <c r="T21" i="13"/>
  <c r="H26" i="13" s="1"/>
  <c r="S21" i="13"/>
  <c r="G26" i="13" s="1"/>
  <c r="R21" i="13"/>
  <c r="F26" i="13" s="1"/>
  <c r="Q21" i="13"/>
  <c r="E26" i="13" s="1"/>
  <c r="P21" i="13"/>
  <c r="D26" i="13" s="1"/>
  <c r="O21" i="13"/>
  <c r="C26" i="13" s="1"/>
  <c r="N21" i="13"/>
  <c r="B26" i="13" s="1"/>
  <c r="M21" i="13"/>
  <c r="M25" i="13" s="1"/>
  <c r="L21" i="13"/>
  <c r="L25" i="13" s="1"/>
  <c r="K21" i="13"/>
  <c r="K25" i="13" s="1"/>
  <c r="J21" i="13"/>
  <c r="J25" i="13" s="1"/>
  <c r="I21" i="13"/>
  <c r="I25" i="13" s="1"/>
  <c r="H21" i="13"/>
  <c r="H25" i="13" s="1"/>
  <c r="G21" i="13"/>
  <c r="G25" i="13" s="1"/>
  <c r="F21" i="13"/>
  <c r="F25" i="13" s="1"/>
  <c r="E21" i="13"/>
  <c r="E25" i="13" s="1"/>
  <c r="D21" i="13"/>
  <c r="D25" i="13" s="1"/>
  <c r="C21" i="13"/>
  <c r="C25" i="13" s="1"/>
  <c r="B21" i="13"/>
  <c r="B25" i="13" s="1"/>
  <c r="J5" i="13"/>
  <c r="J6" i="13" s="1"/>
  <c r="J7" i="13" s="1"/>
  <c r="J8" i="13" s="1"/>
  <c r="J9" i="13" s="1"/>
  <c r="J10" i="13" s="1"/>
  <c r="F5" i="13"/>
  <c r="F6" i="13" s="1"/>
  <c r="F7" i="13" s="1"/>
  <c r="F8" i="13" s="1"/>
  <c r="F9" i="13" s="1"/>
  <c r="F10" i="13" s="1"/>
  <c r="B5" i="13"/>
  <c r="B6" i="13" s="1"/>
  <c r="B7" i="13" s="1"/>
  <c r="B8" i="13" s="1"/>
  <c r="B9" i="13" s="1"/>
  <c r="B10" i="13" s="1"/>
  <c r="X33" i="11"/>
  <c r="X34" i="11" s="1"/>
  <c r="X35" i="11" s="1"/>
  <c r="X36" i="11" s="1"/>
  <c r="X37" i="11" s="1"/>
  <c r="X38" i="11" s="1"/>
  <c r="U33" i="11"/>
  <c r="U34" i="11" s="1"/>
  <c r="U35" i="11" s="1"/>
  <c r="U36" i="11" s="1"/>
  <c r="U37" i="11" s="1"/>
  <c r="C36" i="14" l="1"/>
  <c r="E40" i="14" s="1"/>
  <c r="J42" i="13"/>
  <c r="C36" i="13"/>
  <c r="B47" i="13"/>
  <c r="D43" i="13"/>
  <c r="E44" i="13"/>
  <c r="F45" i="14" l="1"/>
  <c r="E41" i="14"/>
  <c r="B43" i="14"/>
  <c r="H43" i="14"/>
  <c r="J46" i="14"/>
  <c r="B41" i="14"/>
  <c r="I45" i="14"/>
  <c r="H41" i="14"/>
  <c r="G47" i="14"/>
  <c r="G44" i="14"/>
  <c r="G41" i="14"/>
  <c r="L46" i="14"/>
  <c r="L43" i="14"/>
  <c r="L40" i="14"/>
  <c r="K45" i="14"/>
  <c r="K42" i="14"/>
  <c r="D45" i="14"/>
  <c r="C47" i="14"/>
  <c r="B45" i="14"/>
  <c r="L47" i="14"/>
  <c r="E44" i="14"/>
  <c r="J41" i="14"/>
  <c r="I43" i="14"/>
  <c r="G45" i="14"/>
  <c r="J40" i="14"/>
  <c r="I42" i="14"/>
  <c r="D46" i="14"/>
  <c r="D43" i="14"/>
  <c r="D40" i="14"/>
  <c r="H40" i="14"/>
  <c r="C45" i="14"/>
  <c r="C42" i="14"/>
  <c r="H46" i="14"/>
  <c r="B40" i="14"/>
  <c r="M46" i="14"/>
  <c r="M43" i="14"/>
  <c r="M40" i="14"/>
  <c r="F46" i="14"/>
  <c r="F40" i="14"/>
  <c r="E45" i="14"/>
  <c r="E42" i="14"/>
  <c r="D42" i="14"/>
  <c r="C44" i="14"/>
  <c r="M45" i="14"/>
  <c r="F42" i="14"/>
  <c r="J47" i="14"/>
  <c r="I46" i="14"/>
  <c r="B44" i="14"/>
  <c r="G42" i="14"/>
  <c r="J43" i="14"/>
  <c r="H47" i="14"/>
  <c r="J45" i="14"/>
  <c r="J42" i="14"/>
  <c r="B46" i="14"/>
  <c r="I47" i="14"/>
  <c r="I44" i="14"/>
  <c r="I41" i="14"/>
  <c r="H45" i="14"/>
  <c r="B47" i="14"/>
  <c r="G46" i="14"/>
  <c r="G43" i="14"/>
  <c r="G40" i="14"/>
  <c r="L45" i="14"/>
  <c r="L42" i="14"/>
  <c r="K47" i="14"/>
  <c r="K44" i="14"/>
  <c r="K41" i="14"/>
  <c r="H44" i="14"/>
  <c r="C41" i="14"/>
  <c r="M42" i="14"/>
  <c r="E47" i="14"/>
  <c r="J44" i="14"/>
  <c r="I40" i="14"/>
  <c r="L44" i="14"/>
  <c r="L41" i="14"/>
  <c r="K46" i="14"/>
  <c r="K43" i="14"/>
  <c r="K40" i="14"/>
  <c r="D47" i="14"/>
  <c r="D44" i="14"/>
  <c r="D41" i="14"/>
  <c r="B42" i="14"/>
  <c r="C46" i="14"/>
  <c r="C43" i="14"/>
  <c r="C40" i="14"/>
  <c r="H42" i="14"/>
  <c r="M47" i="14"/>
  <c r="M44" i="14"/>
  <c r="M41" i="14"/>
  <c r="F47" i="14"/>
  <c r="F44" i="14"/>
  <c r="F41" i="14"/>
  <c r="E46" i="14"/>
  <c r="E43" i="14"/>
  <c r="E42" i="13"/>
  <c r="K43" i="13"/>
  <c r="F46" i="13"/>
  <c r="E43" i="13"/>
  <c r="D40" i="13"/>
  <c r="H44" i="13"/>
  <c r="L42" i="13"/>
  <c r="M47" i="13"/>
  <c r="E41" i="13"/>
  <c r="I47" i="13"/>
  <c r="H41" i="13"/>
  <c r="F44" i="13"/>
  <c r="D46" i="13"/>
  <c r="C45" i="13"/>
  <c r="M45" i="13"/>
  <c r="F42" i="13"/>
  <c r="J45" i="13"/>
  <c r="C42" i="13"/>
  <c r="G41" i="13"/>
  <c r="I44" i="13"/>
  <c r="I41" i="13"/>
  <c r="B44" i="13"/>
  <c r="G45" i="13"/>
  <c r="L45" i="13"/>
  <c r="K40" i="13"/>
  <c r="F41" i="13"/>
  <c r="K47" i="13"/>
  <c r="D42" i="13"/>
  <c r="C44" i="13"/>
  <c r="C41" i="13"/>
  <c r="H43" i="13"/>
  <c r="H40" i="13"/>
  <c r="M44" i="13"/>
  <c r="G40" i="13"/>
  <c r="F45" i="13"/>
  <c r="L40" i="13"/>
  <c r="K42" i="13"/>
  <c r="G44" i="13"/>
  <c r="E47" i="13"/>
  <c r="L47" i="13"/>
  <c r="J47" i="13"/>
  <c r="J44" i="13"/>
  <c r="J41" i="13"/>
  <c r="I46" i="13"/>
  <c r="I43" i="13"/>
  <c r="I40" i="13"/>
  <c r="B46" i="13"/>
  <c r="B43" i="13"/>
  <c r="B40" i="13"/>
  <c r="M43" i="13"/>
  <c r="K46" i="13"/>
  <c r="G43" i="13"/>
  <c r="F40" i="13"/>
  <c r="D47" i="13"/>
  <c r="D41" i="13"/>
  <c r="C46" i="13"/>
  <c r="C43" i="13"/>
  <c r="H45" i="13"/>
  <c r="H42" i="13"/>
  <c r="G47" i="13"/>
  <c r="M42" i="13"/>
  <c r="F47" i="13"/>
  <c r="L43" i="13"/>
  <c r="K44" i="13"/>
  <c r="B41" i="13"/>
  <c r="R29" i="13" s="1"/>
  <c r="M40" i="13"/>
  <c r="L41" i="13"/>
  <c r="G46" i="13"/>
  <c r="E40" i="13"/>
  <c r="D45" i="13"/>
  <c r="C47" i="13"/>
  <c r="H46" i="13"/>
  <c r="L44" i="13"/>
  <c r="E46" i="13"/>
  <c r="D44" i="13"/>
  <c r="C40" i="13"/>
  <c r="M41" i="13"/>
  <c r="E45" i="13"/>
  <c r="K45" i="13"/>
  <c r="J46" i="13"/>
  <c r="J43" i="13"/>
  <c r="J40" i="13"/>
  <c r="I45" i="13"/>
  <c r="I42" i="13"/>
  <c r="H47" i="13"/>
  <c r="B45" i="13"/>
  <c r="B42" i="13"/>
  <c r="M46" i="13"/>
  <c r="G42" i="13"/>
  <c r="L46" i="13"/>
  <c r="F43" i="13"/>
  <c r="V34" i="13" l="1"/>
  <c r="U34" i="13"/>
  <c r="V31" i="13"/>
  <c r="Y29" i="13"/>
  <c r="X29" i="13"/>
  <c r="T34" i="14"/>
  <c r="S34" i="14"/>
  <c r="Z37" i="14"/>
  <c r="Y37" i="14"/>
  <c r="Z38" i="14"/>
  <c r="Y38" i="14"/>
  <c r="W36" i="14"/>
  <c r="V36" i="14"/>
  <c r="Z34" i="14"/>
  <c r="Y34" i="14"/>
  <c r="T33" i="14"/>
  <c r="S33" i="14"/>
  <c r="W34" i="14"/>
  <c r="V34" i="14"/>
  <c r="W32" i="14"/>
  <c r="T32" i="14"/>
  <c r="Z33" i="14"/>
  <c r="Y33" i="14"/>
  <c r="W33" i="14"/>
  <c r="V33" i="14"/>
  <c r="Z35" i="14"/>
  <c r="Y35" i="14"/>
  <c r="W35" i="14"/>
  <c r="V35" i="14"/>
  <c r="T35" i="14"/>
  <c r="S35" i="14"/>
  <c r="W38" i="14"/>
  <c r="V38" i="14"/>
  <c r="Z36" i="14"/>
  <c r="Y36" i="14"/>
  <c r="T38" i="14"/>
  <c r="S38" i="14"/>
  <c r="T36" i="14"/>
  <c r="S36" i="14"/>
  <c r="Z32" i="14"/>
  <c r="Y32" i="14"/>
  <c r="T37" i="14"/>
  <c r="S37" i="14"/>
  <c r="V37" i="14"/>
  <c r="W37" i="14"/>
  <c r="U30" i="13"/>
  <c r="X31" i="13"/>
  <c r="U32" i="13"/>
  <c r="V32" i="13"/>
  <c r="V29" i="13"/>
  <c r="Y31" i="13"/>
  <c r="S30" i="13"/>
  <c r="S28" i="13"/>
  <c r="R28" i="13"/>
  <c r="Y30" i="13"/>
  <c r="X30" i="13"/>
  <c r="Y28" i="13"/>
  <c r="X28" i="13"/>
  <c r="V30" i="13"/>
  <c r="S33" i="13"/>
  <c r="R33" i="13"/>
  <c r="S31" i="13"/>
  <c r="R31" i="13"/>
  <c r="X34" i="13"/>
  <c r="Y34" i="13"/>
  <c r="U31" i="13"/>
  <c r="Y33" i="13"/>
  <c r="X33" i="13"/>
  <c r="U28" i="13"/>
  <c r="V28" i="13"/>
  <c r="R34" i="13"/>
  <c r="S34" i="13"/>
  <c r="V33" i="13"/>
  <c r="U33" i="13"/>
  <c r="Y32" i="13"/>
  <c r="X32" i="13"/>
  <c r="S32" i="13"/>
  <c r="R32" i="13"/>
  <c r="S29" i="13"/>
  <c r="J6" i="11"/>
  <c r="J7" i="11" s="1"/>
  <c r="J8" i="11" s="1"/>
  <c r="J9" i="11" s="1"/>
  <c r="J10" i="11" s="1"/>
  <c r="J11" i="11" s="1"/>
  <c r="F6" i="11"/>
  <c r="F7" i="11" s="1"/>
  <c r="F8" i="11" s="1"/>
  <c r="F9" i="11" s="1"/>
  <c r="F10" i="11" s="1"/>
  <c r="F11" i="11" s="1"/>
  <c r="B6" i="11"/>
  <c r="B7" i="11" s="1"/>
  <c r="B8" i="11" s="1"/>
  <c r="B9" i="11" s="1"/>
  <c r="B10" i="11" s="1"/>
  <c r="B11" i="11" s="1"/>
  <c r="CS21" i="11"/>
  <c r="M32" i="11" s="1"/>
  <c r="CR21" i="11"/>
  <c r="L32" i="11" s="1"/>
  <c r="CQ21" i="11"/>
  <c r="K32" i="11" s="1"/>
  <c r="CP21" i="11"/>
  <c r="J32" i="11" s="1"/>
  <c r="CO21" i="11"/>
  <c r="I32" i="11" s="1"/>
  <c r="CN21" i="11"/>
  <c r="H32" i="11" s="1"/>
  <c r="CM21" i="11"/>
  <c r="G32" i="11" s="1"/>
  <c r="CL21" i="11"/>
  <c r="F32" i="11" s="1"/>
  <c r="CK21" i="11"/>
  <c r="E32" i="11" s="1"/>
  <c r="CJ21" i="11"/>
  <c r="D32" i="11" s="1"/>
  <c r="CI21" i="11"/>
  <c r="C32" i="11" s="1"/>
  <c r="CH21" i="11"/>
  <c r="B32" i="11" s="1"/>
  <c r="CG21" i="11"/>
  <c r="M31" i="11" s="1"/>
  <c r="CF21" i="11"/>
  <c r="L31" i="11" s="1"/>
  <c r="CE21" i="11"/>
  <c r="K31" i="11" s="1"/>
  <c r="CD21" i="11"/>
  <c r="J31" i="11" s="1"/>
  <c r="CC21" i="11"/>
  <c r="I31" i="11" s="1"/>
  <c r="CB21" i="11"/>
  <c r="H31" i="11" s="1"/>
  <c r="CA21" i="11"/>
  <c r="G31" i="11" s="1"/>
  <c r="BZ21" i="11"/>
  <c r="F31" i="11" s="1"/>
  <c r="BY21" i="11"/>
  <c r="E31" i="11" s="1"/>
  <c r="BX21" i="11"/>
  <c r="D31" i="11" s="1"/>
  <c r="BW21" i="11"/>
  <c r="C31" i="11" s="1"/>
  <c r="BV21" i="11"/>
  <c r="B31" i="11" s="1"/>
  <c r="BU21" i="11"/>
  <c r="M30" i="11" s="1"/>
  <c r="BT21" i="11"/>
  <c r="L30" i="11" s="1"/>
  <c r="BS21" i="11"/>
  <c r="K30" i="11" s="1"/>
  <c r="BR21" i="11"/>
  <c r="J30" i="11" s="1"/>
  <c r="BQ21" i="11"/>
  <c r="I30" i="11" s="1"/>
  <c r="BP21" i="11"/>
  <c r="H30" i="11" s="1"/>
  <c r="BO21" i="11"/>
  <c r="G30" i="11" s="1"/>
  <c r="BN21" i="11"/>
  <c r="F30" i="11" s="1"/>
  <c r="BM21" i="11"/>
  <c r="E30" i="11" s="1"/>
  <c r="BL21" i="11"/>
  <c r="D30" i="11" s="1"/>
  <c r="BK21" i="11"/>
  <c r="C30" i="11" s="1"/>
  <c r="BJ21" i="11"/>
  <c r="B30" i="11" s="1"/>
  <c r="BI21" i="11"/>
  <c r="M29" i="11" s="1"/>
  <c r="BH21" i="11"/>
  <c r="L29" i="11" s="1"/>
  <c r="BG21" i="11"/>
  <c r="K29" i="11" s="1"/>
  <c r="BF21" i="11"/>
  <c r="J29" i="11" s="1"/>
  <c r="BE21" i="11"/>
  <c r="I29" i="11" s="1"/>
  <c r="BD21" i="11"/>
  <c r="H29" i="11" s="1"/>
  <c r="BC21" i="11"/>
  <c r="G29" i="11" s="1"/>
  <c r="BB21" i="11"/>
  <c r="F29" i="11" s="1"/>
  <c r="BA21" i="11"/>
  <c r="E29" i="11" s="1"/>
  <c r="AZ21" i="11"/>
  <c r="D29" i="11" s="1"/>
  <c r="AY21" i="11"/>
  <c r="C29" i="11" s="1"/>
  <c r="AX21" i="11"/>
  <c r="B29" i="11" s="1"/>
  <c r="AW21" i="11"/>
  <c r="M28" i="11" s="1"/>
  <c r="AV21" i="11"/>
  <c r="L28" i="11" s="1"/>
  <c r="AU21" i="11"/>
  <c r="K28" i="11" s="1"/>
  <c r="AT21" i="11"/>
  <c r="J28" i="11" s="1"/>
  <c r="AS21" i="11"/>
  <c r="I28" i="11" s="1"/>
  <c r="AR21" i="11"/>
  <c r="H28" i="11" s="1"/>
  <c r="AQ21" i="11"/>
  <c r="G28" i="11" s="1"/>
  <c r="AP21" i="11"/>
  <c r="F28" i="11" s="1"/>
  <c r="AO21" i="11"/>
  <c r="E28" i="11" s="1"/>
  <c r="AN21" i="11"/>
  <c r="D28" i="11" s="1"/>
  <c r="AM21" i="11"/>
  <c r="C28" i="11" s="1"/>
  <c r="AL21" i="11"/>
  <c r="B28" i="11" s="1"/>
  <c r="AK21" i="11"/>
  <c r="M27" i="11" s="1"/>
  <c r="AJ21" i="11"/>
  <c r="L27" i="11" s="1"/>
  <c r="AI21" i="11"/>
  <c r="K27" i="11" s="1"/>
  <c r="AH21" i="11"/>
  <c r="J27" i="11" s="1"/>
  <c r="AG21" i="11"/>
  <c r="I27" i="11" s="1"/>
  <c r="AF21" i="11"/>
  <c r="H27" i="11" s="1"/>
  <c r="AE21" i="11"/>
  <c r="G27" i="11" s="1"/>
  <c r="AD21" i="11"/>
  <c r="F27" i="11" s="1"/>
  <c r="AC21" i="11"/>
  <c r="E27" i="11" s="1"/>
  <c r="AB21" i="11"/>
  <c r="D27" i="11" s="1"/>
  <c r="AA21" i="11"/>
  <c r="C27" i="11" s="1"/>
  <c r="Z21" i="11"/>
  <c r="B27" i="11" s="1"/>
  <c r="Y21" i="11"/>
  <c r="M26" i="11" s="1"/>
  <c r="X21" i="11"/>
  <c r="L26" i="11" s="1"/>
  <c r="W21" i="11"/>
  <c r="K26" i="11" s="1"/>
  <c r="V21" i="11"/>
  <c r="J26" i="11" s="1"/>
  <c r="U21" i="11"/>
  <c r="I26" i="11" s="1"/>
  <c r="T21" i="11"/>
  <c r="H26" i="11" s="1"/>
  <c r="S21" i="11"/>
  <c r="G26" i="11" s="1"/>
  <c r="R21" i="11"/>
  <c r="F26" i="11" s="1"/>
  <c r="Q21" i="11"/>
  <c r="E26" i="11" s="1"/>
  <c r="P21" i="11"/>
  <c r="D26" i="11" s="1"/>
  <c r="O21" i="11"/>
  <c r="C26" i="11" s="1"/>
  <c r="N21" i="11"/>
  <c r="B26" i="11" s="1"/>
  <c r="M21" i="11"/>
  <c r="M25" i="11" s="1"/>
  <c r="L21" i="11"/>
  <c r="L25" i="11" s="1"/>
  <c r="K21" i="11"/>
  <c r="K25" i="11" s="1"/>
  <c r="J21" i="11"/>
  <c r="J25" i="11" s="1"/>
  <c r="I21" i="11"/>
  <c r="I25" i="11" s="1"/>
  <c r="H21" i="11"/>
  <c r="H25" i="11" s="1"/>
  <c r="G21" i="11"/>
  <c r="G25" i="11" s="1"/>
  <c r="F21" i="11"/>
  <c r="F25" i="11" s="1"/>
  <c r="E21" i="11"/>
  <c r="E25" i="11" s="1"/>
  <c r="D21" i="11"/>
  <c r="D25" i="11" s="1"/>
  <c r="C21" i="11"/>
  <c r="C25" i="11" s="1"/>
  <c r="B21" i="11"/>
  <c r="B25" i="11" s="1"/>
  <c r="J5" i="1"/>
  <c r="J6" i="1" s="1"/>
  <c r="J7" i="1" s="1"/>
  <c r="J8" i="1" s="1"/>
  <c r="J9" i="1" s="1"/>
  <c r="J10" i="1" s="1"/>
  <c r="F5" i="1"/>
  <c r="F6" i="1" s="1"/>
  <c r="F7" i="1" s="1"/>
  <c r="F8" i="1" s="1"/>
  <c r="F9" i="1" s="1"/>
  <c r="F10" i="1" s="1"/>
  <c r="B5" i="1"/>
  <c r="B6" i="1" s="1"/>
  <c r="B7" i="1" s="1"/>
  <c r="B8" i="1" s="1"/>
  <c r="B9" i="1" s="1"/>
  <c r="B10" i="1" s="1"/>
  <c r="B21" i="1"/>
  <c r="B25" i="1" s="1"/>
  <c r="C21" i="1"/>
  <c r="C25" i="1" s="1"/>
  <c r="D21" i="1"/>
  <c r="D25" i="1" s="1"/>
  <c r="E21" i="1"/>
  <c r="E25" i="1" s="1"/>
  <c r="F21" i="1"/>
  <c r="F25" i="1" s="1"/>
  <c r="G21" i="1"/>
  <c r="G25" i="1" s="1"/>
  <c r="H21" i="1"/>
  <c r="H25" i="1" s="1"/>
  <c r="I21" i="1"/>
  <c r="I25" i="1" s="1"/>
  <c r="J21" i="1"/>
  <c r="J25" i="1" s="1"/>
  <c r="K21" i="1"/>
  <c r="K25" i="1" s="1"/>
  <c r="L21" i="1"/>
  <c r="L25" i="1" s="1"/>
  <c r="M21" i="1"/>
  <c r="M25" i="1" s="1"/>
  <c r="N21" i="1"/>
  <c r="B26" i="1" s="1"/>
  <c r="O21" i="1"/>
  <c r="C26" i="1" s="1"/>
  <c r="P21" i="1"/>
  <c r="D26" i="1" s="1"/>
  <c r="Q21" i="1"/>
  <c r="E26" i="1" s="1"/>
  <c r="R21" i="1"/>
  <c r="F26" i="1" s="1"/>
  <c r="S21" i="1"/>
  <c r="G26" i="1" s="1"/>
  <c r="T21" i="1"/>
  <c r="H26" i="1" s="1"/>
  <c r="U21" i="1"/>
  <c r="I26" i="1" s="1"/>
  <c r="V21" i="1"/>
  <c r="J26" i="1" s="1"/>
  <c r="W21" i="1"/>
  <c r="K26" i="1" s="1"/>
  <c r="X21" i="1"/>
  <c r="L26" i="1" s="1"/>
  <c r="Y21" i="1"/>
  <c r="M26" i="1" s="1"/>
  <c r="Z21" i="1"/>
  <c r="B27" i="1" s="1"/>
  <c r="AA21" i="1"/>
  <c r="C27" i="1" s="1"/>
  <c r="AB21" i="1"/>
  <c r="D27" i="1" s="1"/>
  <c r="AC21" i="1"/>
  <c r="E27" i="1" s="1"/>
  <c r="AD21" i="1"/>
  <c r="F27" i="1" s="1"/>
  <c r="AE21" i="1"/>
  <c r="G27" i="1" s="1"/>
  <c r="AF21" i="1"/>
  <c r="H27" i="1" s="1"/>
  <c r="AG21" i="1"/>
  <c r="I27" i="1" s="1"/>
  <c r="AH21" i="1"/>
  <c r="J27" i="1" s="1"/>
  <c r="AI21" i="1"/>
  <c r="K27" i="1" s="1"/>
  <c r="AJ21" i="1"/>
  <c r="L27" i="1" s="1"/>
  <c r="AK21" i="1"/>
  <c r="M27" i="1" s="1"/>
  <c r="AL21" i="1"/>
  <c r="B28" i="1" s="1"/>
  <c r="AM21" i="1"/>
  <c r="C28" i="1" s="1"/>
  <c r="AN21" i="1"/>
  <c r="D28" i="1" s="1"/>
  <c r="AO21" i="1"/>
  <c r="E28" i="1" s="1"/>
  <c r="AP21" i="1"/>
  <c r="F28" i="1" s="1"/>
  <c r="AQ21" i="1"/>
  <c r="G28" i="1" s="1"/>
  <c r="AR21" i="1"/>
  <c r="H28" i="1" s="1"/>
  <c r="AS21" i="1"/>
  <c r="I28" i="1" s="1"/>
  <c r="AT21" i="1"/>
  <c r="J28" i="1" s="1"/>
  <c r="AU21" i="1"/>
  <c r="K28" i="1" s="1"/>
  <c r="AV21" i="1"/>
  <c r="L28" i="1" s="1"/>
  <c r="AW21" i="1"/>
  <c r="M28" i="1" s="1"/>
  <c r="AX21" i="1"/>
  <c r="B29" i="1" s="1"/>
  <c r="AY21" i="1"/>
  <c r="C29" i="1" s="1"/>
  <c r="AZ21" i="1"/>
  <c r="D29" i="1" s="1"/>
  <c r="BA21" i="1"/>
  <c r="E29" i="1" s="1"/>
  <c r="BB21" i="1"/>
  <c r="F29" i="1" s="1"/>
  <c r="BC21" i="1"/>
  <c r="G29" i="1" s="1"/>
  <c r="BD21" i="1"/>
  <c r="H29" i="1" s="1"/>
  <c r="BE21" i="1"/>
  <c r="I29" i="1" s="1"/>
  <c r="BF21" i="1"/>
  <c r="J29" i="1" s="1"/>
  <c r="BG21" i="1"/>
  <c r="K29" i="1" s="1"/>
  <c r="BH21" i="1"/>
  <c r="L29" i="1" s="1"/>
  <c r="BI21" i="1"/>
  <c r="M29" i="1" s="1"/>
  <c r="BJ21" i="1"/>
  <c r="B30" i="1" s="1"/>
  <c r="BK21" i="1"/>
  <c r="C30" i="1" s="1"/>
  <c r="BL21" i="1"/>
  <c r="D30" i="1" s="1"/>
  <c r="BM21" i="1"/>
  <c r="E30" i="1" s="1"/>
  <c r="BN21" i="1"/>
  <c r="F30" i="1" s="1"/>
  <c r="BO21" i="1"/>
  <c r="G30" i="1" s="1"/>
  <c r="BP21" i="1"/>
  <c r="H30" i="1" s="1"/>
  <c r="BQ21" i="1"/>
  <c r="I30" i="1" s="1"/>
  <c r="BR21" i="1"/>
  <c r="J30" i="1" s="1"/>
  <c r="BS21" i="1"/>
  <c r="K30" i="1" s="1"/>
  <c r="BT21" i="1"/>
  <c r="L30" i="1" s="1"/>
  <c r="BU21" i="1"/>
  <c r="M30" i="1" s="1"/>
  <c r="BV21" i="1"/>
  <c r="B31" i="1" s="1"/>
  <c r="BW21" i="1"/>
  <c r="C31" i="1" s="1"/>
  <c r="BX21" i="1"/>
  <c r="D31" i="1" s="1"/>
  <c r="BY21" i="1"/>
  <c r="E31" i="1" s="1"/>
  <c r="BZ21" i="1"/>
  <c r="F31" i="1" s="1"/>
  <c r="CA21" i="1"/>
  <c r="G31" i="1" s="1"/>
  <c r="CB21" i="1"/>
  <c r="H31" i="1" s="1"/>
  <c r="CC21" i="1"/>
  <c r="I31" i="1" s="1"/>
  <c r="CD21" i="1"/>
  <c r="J31" i="1" s="1"/>
  <c r="CE21" i="1"/>
  <c r="K31" i="1" s="1"/>
  <c r="CF21" i="1"/>
  <c r="L31" i="1" s="1"/>
  <c r="CG21" i="1"/>
  <c r="M31" i="1" s="1"/>
  <c r="CH21" i="1"/>
  <c r="B32" i="1" s="1"/>
  <c r="C36" i="1" s="1"/>
  <c r="CI21" i="1"/>
  <c r="C32" i="1" s="1"/>
  <c r="CJ21" i="1"/>
  <c r="D32" i="1" s="1"/>
  <c r="CK21" i="1"/>
  <c r="E32" i="1" s="1"/>
  <c r="CL21" i="1"/>
  <c r="F32" i="1" s="1"/>
  <c r="CM21" i="1"/>
  <c r="G32" i="1" s="1"/>
  <c r="CN21" i="1"/>
  <c r="H32" i="1" s="1"/>
  <c r="CO21" i="1"/>
  <c r="I32" i="1" s="1"/>
  <c r="CP21" i="1"/>
  <c r="J32" i="1" s="1"/>
  <c r="CQ21" i="1"/>
  <c r="K32" i="1" s="1"/>
  <c r="CR21" i="1"/>
  <c r="L32" i="1" s="1"/>
  <c r="CS21" i="1"/>
  <c r="M32" i="1" s="1"/>
  <c r="G46" i="1" l="1"/>
  <c r="L45" i="1"/>
  <c r="G47" i="1"/>
  <c r="M46" i="1"/>
  <c r="M44" i="1"/>
  <c r="M43" i="1"/>
  <c r="M42" i="1"/>
  <c r="G42" i="1"/>
  <c r="I40" i="1"/>
  <c r="L46" i="1"/>
  <c r="L43" i="1"/>
  <c r="F41" i="1"/>
  <c r="K43" i="1"/>
  <c r="K42" i="1"/>
  <c r="K41" i="1"/>
  <c r="K40" i="1"/>
  <c r="F45" i="1"/>
  <c r="L42" i="1"/>
  <c r="L40" i="1"/>
  <c r="K44" i="1"/>
  <c r="J44" i="1"/>
  <c r="J43" i="1"/>
  <c r="J42" i="1"/>
  <c r="J41" i="1"/>
  <c r="F43" i="1"/>
  <c r="F42" i="1"/>
  <c r="K46" i="1"/>
  <c r="I46" i="1"/>
  <c r="I43" i="1"/>
  <c r="I42" i="1"/>
  <c r="M45" i="1"/>
  <c r="H47" i="1"/>
  <c r="G40" i="1"/>
  <c r="G43" i="1"/>
  <c r="I41" i="1"/>
  <c r="J46" i="1"/>
  <c r="I47" i="1"/>
  <c r="L44" i="1"/>
  <c r="H46" i="1"/>
  <c r="H45" i="1"/>
  <c r="H42" i="1"/>
  <c r="H41" i="1"/>
  <c r="H40" i="1"/>
  <c r="L47" i="1"/>
  <c r="C36" i="11"/>
  <c r="G42" i="11" s="1"/>
  <c r="B44" i="1"/>
  <c r="Y32" i="1" l="1"/>
  <c r="Y34" i="1"/>
  <c r="U31" i="1"/>
  <c r="Y31" i="1"/>
  <c r="H43" i="1"/>
  <c r="V31" i="1" s="1"/>
  <c r="F44" i="1"/>
  <c r="V32" i="1" s="1"/>
  <c r="J40" i="1"/>
  <c r="I44" i="1"/>
  <c r="F46" i="1"/>
  <c r="V34" i="1" s="1"/>
  <c r="J45" i="1"/>
  <c r="M47" i="1"/>
  <c r="K47" i="1"/>
  <c r="G41" i="1"/>
  <c r="U29" i="1" s="1"/>
  <c r="G45" i="1"/>
  <c r="F47" i="1"/>
  <c r="H44" i="1"/>
  <c r="K45" i="1"/>
  <c r="M40" i="1"/>
  <c r="Y28" i="1" s="1"/>
  <c r="I45" i="1"/>
  <c r="L41" i="1"/>
  <c r="J47" i="1"/>
  <c r="G44" i="1"/>
  <c r="F40" i="1"/>
  <c r="V28" i="1" s="1"/>
  <c r="M41" i="1"/>
  <c r="Y29" i="1" s="1"/>
  <c r="V29" i="1"/>
  <c r="V30" i="1"/>
  <c r="X30" i="1"/>
  <c r="Y30" i="1"/>
  <c r="X31" i="1"/>
  <c r="U34" i="1"/>
  <c r="X32" i="1"/>
  <c r="U30" i="1"/>
  <c r="X34" i="1"/>
  <c r="B41" i="11"/>
  <c r="G46" i="11"/>
  <c r="G40" i="11"/>
  <c r="L42" i="11"/>
  <c r="K44" i="11"/>
  <c r="J46" i="11"/>
  <c r="C43" i="11"/>
  <c r="H43" i="11"/>
  <c r="H40" i="11"/>
  <c r="M42" i="11"/>
  <c r="L47" i="11"/>
  <c r="F42" i="11"/>
  <c r="E44" i="11"/>
  <c r="D46" i="11"/>
  <c r="D43" i="11"/>
  <c r="D40" i="11"/>
  <c r="C44" i="11"/>
  <c r="B43" i="11"/>
  <c r="G45" i="11"/>
  <c r="L44" i="11"/>
  <c r="L41" i="11"/>
  <c r="K46" i="11"/>
  <c r="K43" i="11"/>
  <c r="K40" i="11"/>
  <c r="J45" i="11"/>
  <c r="J42" i="11"/>
  <c r="I47" i="11"/>
  <c r="I43" i="11"/>
  <c r="C41" i="11"/>
  <c r="C47" i="11"/>
  <c r="H45" i="11"/>
  <c r="H42" i="11"/>
  <c r="M47" i="11"/>
  <c r="M44" i="11"/>
  <c r="M41" i="11"/>
  <c r="F47" i="11"/>
  <c r="F44" i="11"/>
  <c r="F41" i="11"/>
  <c r="V33" i="11" s="1"/>
  <c r="E46" i="11"/>
  <c r="E43" i="11"/>
  <c r="E40" i="11"/>
  <c r="D45" i="11"/>
  <c r="D42" i="11"/>
  <c r="I46" i="11"/>
  <c r="I42" i="11"/>
  <c r="I40" i="11"/>
  <c r="H47" i="11"/>
  <c r="B45" i="11"/>
  <c r="B42" i="11"/>
  <c r="G47" i="11"/>
  <c r="G44" i="11"/>
  <c r="G41" i="11"/>
  <c r="L46" i="11"/>
  <c r="L43" i="11"/>
  <c r="L40" i="11"/>
  <c r="K45" i="11"/>
  <c r="K42" i="11"/>
  <c r="J47" i="11"/>
  <c r="J44" i="11"/>
  <c r="J41" i="11"/>
  <c r="C46" i="11"/>
  <c r="I41" i="11"/>
  <c r="C40" i="11"/>
  <c r="B47" i="11"/>
  <c r="H44" i="11"/>
  <c r="H41" i="11"/>
  <c r="M46" i="11"/>
  <c r="M43" i="11"/>
  <c r="M40" i="11"/>
  <c r="F46" i="11"/>
  <c r="F43" i="11"/>
  <c r="F40" i="11"/>
  <c r="E45" i="11"/>
  <c r="E42" i="11"/>
  <c r="D47" i="11"/>
  <c r="D44" i="11"/>
  <c r="D41" i="11"/>
  <c r="I45" i="11"/>
  <c r="C42" i="11"/>
  <c r="B44" i="11"/>
  <c r="G43" i="11"/>
  <c r="L45" i="11"/>
  <c r="K47" i="11"/>
  <c r="K41" i="11"/>
  <c r="J43" i="11"/>
  <c r="J40" i="11"/>
  <c r="C45" i="11"/>
  <c r="H46" i="11"/>
  <c r="M45" i="11"/>
  <c r="F45" i="11"/>
  <c r="E47" i="11"/>
  <c r="E41" i="11"/>
  <c r="I44" i="11"/>
  <c r="B46" i="11"/>
  <c r="B40" i="11"/>
  <c r="E40" i="1"/>
  <c r="E41" i="1"/>
  <c r="E47" i="1"/>
  <c r="B47" i="1"/>
  <c r="C44" i="1"/>
  <c r="D41" i="1"/>
  <c r="D44" i="1"/>
  <c r="D47" i="1"/>
  <c r="B42" i="1"/>
  <c r="B46" i="1"/>
  <c r="C40" i="1"/>
  <c r="E44" i="1"/>
  <c r="C41" i="1"/>
  <c r="C45" i="1"/>
  <c r="D42" i="1"/>
  <c r="D45" i="1"/>
  <c r="E42" i="1"/>
  <c r="C43" i="1"/>
  <c r="B43" i="1"/>
  <c r="C46" i="1"/>
  <c r="B40" i="1"/>
  <c r="C42" i="1"/>
  <c r="C47" i="1"/>
  <c r="D40" i="1"/>
  <c r="D43" i="1"/>
  <c r="D46" i="1"/>
  <c r="E45" i="1"/>
  <c r="E43" i="1"/>
  <c r="E46" i="1"/>
  <c r="B41" i="1"/>
  <c r="B45" i="1"/>
  <c r="V32" i="11" l="1"/>
  <c r="U33" i="1"/>
  <c r="X29" i="1"/>
  <c r="V33" i="1"/>
  <c r="Z35" i="11"/>
  <c r="Y35" i="11"/>
  <c r="S34" i="11"/>
  <c r="T34" i="11"/>
  <c r="V36" i="11"/>
  <c r="W36" i="11"/>
  <c r="Z37" i="11"/>
  <c r="Y37" i="11"/>
  <c r="W37" i="11"/>
  <c r="V37" i="11"/>
  <c r="W32" i="11"/>
  <c r="Z33" i="11"/>
  <c r="Y33" i="11"/>
  <c r="T37" i="11"/>
  <c r="S37" i="11"/>
  <c r="T35" i="11"/>
  <c r="S35" i="11"/>
  <c r="W34" i="11"/>
  <c r="V34" i="11"/>
  <c r="Y38" i="11"/>
  <c r="Z38" i="11"/>
  <c r="T32" i="11"/>
  <c r="S32" i="11"/>
  <c r="W35" i="11"/>
  <c r="V35" i="11"/>
  <c r="Z36" i="11"/>
  <c r="Y36" i="11"/>
  <c r="T38" i="11"/>
  <c r="S38" i="11"/>
  <c r="W38" i="11"/>
  <c r="V38" i="11"/>
  <c r="T36" i="11"/>
  <c r="S36" i="11"/>
  <c r="Z32" i="11"/>
  <c r="Y32" i="11"/>
  <c r="W33" i="11"/>
  <c r="Z34" i="11"/>
  <c r="Y34" i="11"/>
  <c r="T33" i="11"/>
  <c r="S33" i="11"/>
  <c r="R32" i="1"/>
  <c r="U32" i="1"/>
  <c r="X33" i="1"/>
  <c r="Y33" i="1"/>
  <c r="X28" i="1"/>
  <c r="S29" i="1"/>
  <c r="R29" i="1"/>
  <c r="R34" i="1"/>
  <c r="S34" i="1"/>
  <c r="S28" i="1"/>
  <c r="R28" i="1"/>
  <c r="S30" i="1"/>
  <c r="R30" i="1"/>
  <c r="S32" i="1"/>
  <c r="R33" i="1"/>
  <c r="S33" i="1"/>
  <c r="S31" i="1"/>
  <c r="R31" i="1"/>
</calcChain>
</file>

<file path=xl/sharedStrings.xml><?xml version="1.0" encoding="utf-8"?>
<sst xmlns="http://schemas.openxmlformats.org/spreadsheetml/2006/main" count="467" uniqueCount="112">
  <si>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</si>
  <si>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</si>
  <si>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</si>
  <si>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</si>
  <si>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</si>
  <si>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</si>
  <si>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</si>
  <si>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</si>
  <si>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</si>
  <si>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</si>
  <si>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</si>
  <si>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</si>
  <si>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</si>
  <si>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</si>
  <si>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</si>
  <si>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</si>
  <si>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</si>
  <si>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</si>
  <si>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</si>
  <si>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</si>
  <si>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</si>
  <si>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</si>
  <si>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</si>
  <si>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</si>
  <si>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</si>
  <si>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</si>
  <si>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</si>
  <si>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</si>
  <si>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</si>
  <si>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</si>
  <si>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</si>
  <si>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</si>
  <si>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</si>
  <si>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</si>
  <si>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</si>
  <si>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</si>
  <si>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</si>
  <si>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</si>
  <si>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</si>
  <si>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</si>
  <si>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</si>
  <si>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</si>
  <si>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</si>
  <si>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</si>
  <si>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</si>
  <si>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</si>
  <si>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</si>
  <si>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</si>
  <si>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</si>
  <si>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</si>
  <si>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</si>
  <si>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</si>
  <si>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</si>
  <si>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</si>
  <si>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</si>
  <si>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</si>
  <si>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</si>
  <si>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</si>
  <si>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</si>
  <si>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</si>
  <si>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</si>
  <si>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</si>
  <si>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</si>
  <si>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</si>
  <si>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</si>
  <si>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</si>
  <si>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</si>
  <si>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</si>
  <si>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</si>
  <si>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</si>
  <si>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</si>
  <si>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</si>
  <si>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</si>
  <si>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</si>
  <si>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</si>
  <si>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</si>
  <si>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</si>
  <si>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</si>
  <si>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</si>
  <si>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</si>
  <si>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</si>
  <si>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</si>
  <si>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</si>
  <si>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</si>
  <si>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</si>
  <si>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</si>
  <si>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</si>
  <si>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</si>
  <si>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</si>
  <si>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</si>
  <si>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</si>
  <si>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</si>
  <si>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</si>
  <si>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</si>
  <si>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</si>
  <si>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</si>
  <si>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</si>
  <si>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Ratio</t>
  </si>
  <si>
    <t>AT5</t>
  </si>
  <si>
    <t>Positive controls</t>
  </si>
  <si>
    <t>Negative controls</t>
  </si>
  <si>
    <t>Ratios</t>
  </si>
  <si>
    <t>Percentages</t>
  </si>
  <si>
    <t>56/57</t>
  </si>
  <si>
    <t>95:5 H2O/ EtOH</t>
  </si>
  <si>
    <t>Triton</t>
  </si>
  <si>
    <t>72/73</t>
  </si>
  <si>
    <t>Concentration</t>
  </si>
  <si>
    <t>% influx</t>
  </si>
  <si>
    <t>Error</t>
  </si>
  <si>
    <t>OVER</t>
  </si>
  <si>
    <t>POPG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</si>
</sst>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FFFF"/>
      <name val="Calibri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FEC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/>
    <xf numFmtId="0" fontId="2" fillId="0" borderId="4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46" fontId="2" fillId="0" borderId="4" xfId="0" applyNumberFormat="1" applyFont="1" applyBorder="1"/>
    <xf numFmtId="0" fontId="2" fillId="0" borderId="6" xfId="0" applyFont="1" applyBorder="1"/>
    <xf numFmtId="0" fontId="0" fillId="7" borderId="0" xfId="0" applyFill="1"/>
    <xf numFmtId="0" fontId="1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4" fillId="4" borderId="8" xfId="0" applyFont="1" applyFill="1" applyBorder="1"/>
    <xf numFmtId="0" fontId="5" fillId="4" borderId="8" xfId="0" applyFont="1" applyFill="1" applyBorder="1"/>
    <xf numFmtId="0" fontId="4" fillId="6" borderId="8" xfId="0" applyFont="1" applyFill="1" applyBorder="1"/>
    <xf numFmtId="0" fontId="6" fillId="6" borderId="8" xfId="0" applyFont="1" applyFill="1" applyBorder="1"/>
    <xf numFmtId="0" fontId="4" fillId="8" borderId="8" xfId="0" applyFont="1" applyFill="1" applyBorder="1"/>
    <xf numFmtId="0" fontId="6" fillId="8" borderId="8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46" fontId="2" fillId="0" borderId="0" xfId="0" applyNumberFormat="1" applyFont="1"/>
    <xf numFmtId="0" fontId="7" fillId="2" borderId="0" xfId="0" applyFont="1" applyFill="1"/>
    <xf numFmtId="0" fontId="8" fillId="0" borderId="0" xfId="0" applyFont="1"/>
    <xf numFmtId="0" fontId="6" fillId="9" borderId="8" xfId="0" applyFont="1" applyFill="1" applyBorder="1"/>
    <xf numFmtId="0" fontId="6" fillId="10" borderId="8" xfId="0" applyFont="1" applyFill="1" applyBorder="1"/>
    <xf numFmtId="0" fontId="6" fillId="4" borderId="8" xfId="0" applyFont="1" applyFill="1" applyBorder="1"/>
    <xf numFmtId="0" fontId="7" fillId="11" borderId="0" xfId="0" applyFont="1" applyFill="1"/>
    <xf numFmtId="0" fontId="0" fillId="12" borderId="0" xfId="0" applyFill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6F79-4C3C-4325-8036-AF8F33A2D48E}">
  <dimension ref="A1:CS47"/>
  <sheetViews>
    <sheetView topLeftCell="A23" zoomScale="85" zoomScaleNormal="85" workbookViewId="0">
      <selection activeCell="P35" sqref="P35"/>
    </sheetView>
  </sheetViews>
  <sheetFormatPr defaultRowHeight="15" x14ac:dyDescent="0.25"/>
  <sheetData>
    <row r="1" spans="1:14" ht="15.75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5.75" thickBot="1" x14ac:dyDescent="0.3">
      <c r="B2" s="31">
        <v>56</v>
      </c>
      <c r="C2" s="31"/>
      <c r="D2" s="31"/>
      <c r="E2" s="31"/>
      <c r="F2" s="31">
        <v>57</v>
      </c>
      <c r="G2" s="31"/>
      <c r="H2" s="31"/>
      <c r="I2" s="31"/>
      <c r="J2" s="31" t="s">
        <v>103</v>
      </c>
      <c r="K2" s="31"/>
      <c r="L2" s="31"/>
      <c r="M2" s="31"/>
    </row>
    <row r="3" spans="1:14" ht="15.75" x14ac:dyDescent="0.25">
      <c r="B3" s="10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2">
        <v>12</v>
      </c>
    </row>
    <row r="4" spans="1:14" ht="15.75" x14ac:dyDescent="0.25">
      <c r="B4" s="13">
        <v>30</v>
      </c>
      <c r="C4" s="14"/>
      <c r="D4" s="14"/>
      <c r="E4" s="14"/>
      <c r="F4" s="15">
        <v>30</v>
      </c>
      <c r="G4" s="16"/>
      <c r="H4" s="16"/>
      <c r="I4" s="16"/>
      <c r="J4" s="17">
        <v>30</v>
      </c>
      <c r="K4" s="18"/>
      <c r="L4" s="18"/>
      <c r="M4" s="18"/>
    </row>
    <row r="5" spans="1:14" ht="15.75" x14ac:dyDescent="0.25">
      <c r="B5" s="13">
        <f>B4*2/3</f>
        <v>20</v>
      </c>
      <c r="C5" s="14"/>
      <c r="D5" s="14"/>
      <c r="E5" s="14"/>
      <c r="F5" s="15">
        <f>F4*2/3</f>
        <v>20</v>
      </c>
      <c r="G5" s="16"/>
      <c r="H5" s="16"/>
      <c r="I5" s="16"/>
      <c r="J5" s="17">
        <f>J4*2/3</f>
        <v>20</v>
      </c>
      <c r="K5" s="18"/>
      <c r="L5" s="18"/>
      <c r="M5" s="18"/>
    </row>
    <row r="6" spans="1:14" ht="15.75" x14ac:dyDescent="0.25">
      <c r="A6" s="21"/>
      <c r="B6" s="13">
        <f t="shared" ref="B6:B10" si="0">B5*2/3</f>
        <v>13.333333333333334</v>
      </c>
      <c r="C6" s="14"/>
      <c r="D6" s="14"/>
      <c r="E6" s="14"/>
      <c r="F6" s="15">
        <f t="shared" ref="F6:F10" si="1">F5*2/3</f>
        <v>13.333333333333334</v>
      </c>
      <c r="G6" s="16"/>
      <c r="H6" s="16"/>
      <c r="I6" s="16"/>
      <c r="J6" s="17">
        <f t="shared" ref="J6:J10" si="2">J5*2/3</f>
        <v>13.333333333333334</v>
      </c>
      <c r="K6" s="18"/>
      <c r="L6" s="18"/>
      <c r="M6" s="18"/>
    </row>
    <row r="7" spans="1:14" ht="15.75" x14ac:dyDescent="0.25">
      <c r="A7" s="21"/>
      <c r="B7" s="13">
        <f t="shared" si="0"/>
        <v>8.8888888888888893</v>
      </c>
      <c r="C7" s="14"/>
      <c r="D7" s="14"/>
      <c r="E7" s="14"/>
      <c r="F7" s="15">
        <f t="shared" si="1"/>
        <v>8.8888888888888893</v>
      </c>
      <c r="G7" s="16"/>
      <c r="H7" s="16"/>
      <c r="I7" s="16"/>
      <c r="J7" s="17">
        <f t="shared" si="2"/>
        <v>8.8888888888888893</v>
      </c>
      <c r="K7" s="18"/>
      <c r="L7" s="18"/>
      <c r="M7" s="18"/>
    </row>
    <row r="8" spans="1:14" ht="15.75" x14ac:dyDescent="0.25">
      <c r="A8" s="21"/>
      <c r="B8" s="13">
        <f t="shared" si="0"/>
        <v>5.9259259259259265</v>
      </c>
      <c r="C8" s="14"/>
      <c r="D8" s="14"/>
      <c r="E8" s="14"/>
      <c r="F8" s="15">
        <f t="shared" si="1"/>
        <v>5.9259259259259265</v>
      </c>
      <c r="G8" s="16"/>
      <c r="H8" s="16"/>
      <c r="I8" s="16"/>
      <c r="J8" s="17">
        <f t="shared" si="2"/>
        <v>5.9259259259259265</v>
      </c>
      <c r="K8" s="18"/>
      <c r="L8" s="18"/>
      <c r="M8" s="18"/>
    </row>
    <row r="9" spans="1:14" ht="15.75" x14ac:dyDescent="0.25">
      <c r="A9" s="21"/>
      <c r="B9" s="13">
        <f t="shared" si="0"/>
        <v>3.9506172839506175</v>
      </c>
      <c r="C9" s="14"/>
      <c r="D9" s="14"/>
      <c r="E9" s="14"/>
      <c r="F9" s="15">
        <f t="shared" si="1"/>
        <v>3.9506172839506175</v>
      </c>
      <c r="G9" s="16"/>
      <c r="H9" s="16"/>
      <c r="I9" s="16"/>
      <c r="J9" s="17">
        <f t="shared" si="2"/>
        <v>3.9506172839506175</v>
      </c>
      <c r="K9" s="18"/>
      <c r="L9" s="18"/>
      <c r="M9" s="18"/>
    </row>
    <row r="10" spans="1:14" ht="15.75" x14ac:dyDescent="0.25">
      <c r="A10" s="21"/>
      <c r="B10" s="13">
        <f t="shared" si="0"/>
        <v>2.6337448559670782</v>
      </c>
      <c r="C10" s="14"/>
      <c r="D10" s="14"/>
      <c r="E10" s="14"/>
      <c r="F10" s="15">
        <f t="shared" si="1"/>
        <v>2.6337448559670782</v>
      </c>
      <c r="G10" s="16"/>
      <c r="H10" s="16"/>
      <c r="I10" s="16"/>
      <c r="J10" s="17">
        <f t="shared" si="2"/>
        <v>2.6337448559670782</v>
      </c>
      <c r="K10" s="18"/>
      <c r="L10" s="18"/>
      <c r="M10" s="18"/>
    </row>
    <row r="11" spans="1:14" ht="16.5" thickBot="1" x14ac:dyDescent="0.3">
      <c r="A11" s="22"/>
      <c r="B11" s="30" t="s">
        <v>104</v>
      </c>
      <c r="C11" s="31"/>
      <c r="D11" s="31"/>
      <c r="E11" s="31"/>
      <c r="F11" s="31" t="s">
        <v>98</v>
      </c>
      <c r="G11" s="31"/>
      <c r="H11" s="31"/>
      <c r="I11" s="31"/>
      <c r="J11" s="31" t="s">
        <v>105</v>
      </c>
      <c r="K11" s="31"/>
      <c r="L11" s="31"/>
      <c r="M11" s="32"/>
    </row>
    <row r="12" spans="1:14" ht="15.75" x14ac:dyDescent="0.25">
      <c r="A12" s="21"/>
    </row>
    <row r="18" spans="1:97" x14ac:dyDescent="0.25">
      <c r="A18" s="23" t="s">
        <v>0</v>
      </c>
      <c r="B18" s="23" t="s">
        <v>1</v>
      </c>
      <c r="C18" s="23" t="s">
        <v>2</v>
      </c>
      <c r="D18" s="23" t="s">
        <v>3</v>
      </c>
      <c r="E18" s="23" t="s">
        <v>4</v>
      </c>
      <c r="F18" s="23" t="s">
        <v>5</v>
      </c>
      <c r="G18" s="23" t="s">
        <v>6</v>
      </c>
      <c r="H18" s="23" t="s">
        <v>7</v>
      </c>
      <c r="I18" s="23" t="s">
        <v>8</v>
      </c>
      <c r="J18" s="23" t="s">
        <v>9</v>
      </c>
      <c r="K18" s="23" t="s">
        <v>10</v>
      </c>
      <c r="L18" s="23" t="s">
        <v>11</v>
      </c>
      <c r="M18" s="23" t="s">
        <v>12</v>
      </c>
      <c r="N18" s="23" t="s">
        <v>13</v>
      </c>
      <c r="O18" s="23" t="s">
        <v>14</v>
      </c>
      <c r="P18" s="23" t="s">
        <v>15</v>
      </c>
      <c r="Q18" s="23" t="s">
        <v>16</v>
      </c>
      <c r="R18" s="23" t="s">
        <v>17</v>
      </c>
      <c r="S18" s="23" t="s">
        <v>18</v>
      </c>
      <c r="T18" s="23" t="s">
        <v>19</v>
      </c>
      <c r="U18" s="23" t="s">
        <v>20</v>
      </c>
      <c r="V18" s="23" t="s">
        <v>21</v>
      </c>
      <c r="W18" s="23" t="s">
        <v>22</v>
      </c>
      <c r="X18" s="23" t="s">
        <v>23</v>
      </c>
      <c r="Y18" s="23" t="s">
        <v>24</v>
      </c>
      <c r="Z18" s="23" t="s">
        <v>25</v>
      </c>
      <c r="AA18" s="23" t="s">
        <v>26</v>
      </c>
      <c r="AB18" s="23" t="s">
        <v>27</v>
      </c>
      <c r="AC18" s="23" t="s">
        <v>28</v>
      </c>
      <c r="AD18" s="23" t="s">
        <v>29</v>
      </c>
      <c r="AE18" s="23" t="s">
        <v>30</v>
      </c>
      <c r="AF18" s="23" t="s">
        <v>31</v>
      </c>
      <c r="AG18" s="23" t="s">
        <v>32</v>
      </c>
      <c r="AH18" s="23" t="s">
        <v>33</v>
      </c>
      <c r="AI18" s="23" t="s">
        <v>34</v>
      </c>
      <c r="AJ18" s="23" t="s">
        <v>35</v>
      </c>
      <c r="AK18" s="23" t="s">
        <v>36</v>
      </c>
      <c r="AL18" s="23" t="s">
        <v>37</v>
      </c>
      <c r="AM18" s="23" t="s">
        <v>38</v>
      </c>
      <c r="AN18" s="23" t="s">
        <v>39</v>
      </c>
      <c r="AO18" s="23" t="s">
        <v>40</v>
      </c>
      <c r="AP18" s="23" t="s">
        <v>41</v>
      </c>
      <c r="AQ18" s="23" t="s">
        <v>42</v>
      </c>
      <c r="AR18" s="23" t="s">
        <v>43</v>
      </c>
      <c r="AS18" s="23" t="s">
        <v>44</v>
      </c>
      <c r="AT18" s="23" t="s">
        <v>45</v>
      </c>
      <c r="AU18" s="23" t="s">
        <v>46</v>
      </c>
      <c r="AV18" s="23" t="s">
        <v>47</v>
      </c>
      <c r="AW18" s="23" t="s">
        <v>48</v>
      </c>
      <c r="AX18" s="23" t="s">
        <v>49</v>
      </c>
      <c r="AY18" s="23" t="s">
        <v>50</v>
      </c>
      <c r="AZ18" s="23" t="s">
        <v>51</v>
      </c>
      <c r="BA18" s="23" t="s">
        <v>52</v>
      </c>
      <c r="BB18" s="23" t="s">
        <v>53</v>
      </c>
      <c r="BC18" s="23" t="s">
        <v>54</v>
      </c>
      <c r="BD18" s="23" t="s">
        <v>55</v>
      </c>
      <c r="BE18" s="23" t="s">
        <v>56</v>
      </c>
      <c r="BF18" s="23" t="s">
        <v>57</v>
      </c>
      <c r="BG18" s="23" t="s">
        <v>58</v>
      </c>
      <c r="BH18" s="23" t="s">
        <v>59</v>
      </c>
      <c r="BI18" s="23" t="s">
        <v>60</v>
      </c>
      <c r="BJ18" s="23" t="s">
        <v>61</v>
      </c>
      <c r="BK18" s="23" t="s">
        <v>62</v>
      </c>
      <c r="BL18" s="23" t="s">
        <v>63</v>
      </c>
      <c r="BM18" s="23" t="s">
        <v>64</v>
      </c>
      <c r="BN18" s="23" t="s">
        <v>65</v>
      </c>
      <c r="BO18" s="23" t="s">
        <v>66</v>
      </c>
      <c r="BP18" s="23" t="s">
        <v>67</v>
      </c>
      <c r="BQ18" s="23" t="s">
        <v>68</v>
      </c>
      <c r="BR18" s="23" t="s">
        <v>69</v>
      </c>
      <c r="BS18" s="23" t="s">
        <v>70</v>
      </c>
      <c r="BT18" s="23" t="s">
        <v>71</v>
      </c>
      <c r="BU18" s="23" t="s">
        <v>72</v>
      </c>
      <c r="BV18" s="23" t="s">
        <v>73</v>
      </c>
      <c r="BW18" s="23" t="s">
        <v>74</v>
      </c>
      <c r="BX18" s="23" t="s">
        <v>75</v>
      </c>
      <c r="BY18" s="23" t="s">
        <v>76</v>
      </c>
      <c r="BZ18" s="23" t="s">
        <v>77</v>
      </c>
      <c r="CA18" s="23" t="s">
        <v>78</v>
      </c>
      <c r="CB18" s="23" t="s">
        <v>79</v>
      </c>
      <c r="CC18" s="23" t="s">
        <v>80</v>
      </c>
      <c r="CD18" s="23" t="s">
        <v>81</v>
      </c>
      <c r="CE18" s="23" t="s">
        <v>82</v>
      </c>
      <c r="CF18" s="23" t="s">
        <v>83</v>
      </c>
      <c r="CG18" s="23" t="s">
        <v>84</v>
      </c>
      <c r="CH18" s="23" t="s">
        <v>85</v>
      </c>
      <c r="CI18" s="23" t="s">
        <v>86</v>
      </c>
      <c r="CJ18" s="23" t="s">
        <v>87</v>
      </c>
      <c r="CK18" s="23" t="s">
        <v>88</v>
      </c>
      <c r="CL18" s="23" t="s">
        <v>89</v>
      </c>
      <c r="CM18" s="23" t="s">
        <v>90</v>
      </c>
      <c r="CN18" s="23" t="s">
        <v>91</v>
      </c>
      <c r="CO18" s="23" t="s">
        <v>92</v>
      </c>
      <c r="CP18" s="23" t="s">
        <v>93</v>
      </c>
      <c r="CQ18" s="23" t="s">
        <v>94</v>
      </c>
      <c r="CR18" s="23" t="s">
        <v>95</v>
      </c>
      <c r="CS18" s="23" t="s">
        <v>96</v>
      </c>
    </row>
    <row r="19" spans="1:97" x14ac:dyDescent="0.25">
      <c r="A19" s="23">
        <v>403</v>
      </c>
      <c r="B19" s="24">
        <v>125048</v>
      </c>
      <c r="C19" s="24">
        <v>127848</v>
      </c>
      <c r="D19" s="24">
        <v>126165</v>
      </c>
      <c r="E19" s="24">
        <v>112188</v>
      </c>
      <c r="F19" s="24">
        <v>95593</v>
      </c>
      <c r="G19" s="24">
        <v>108622</v>
      </c>
      <c r="H19" s="24">
        <v>117213</v>
      </c>
      <c r="I19" s="24">
        <v>115305</v>
      </c>
      <c r="J19" s="24">
        <v>127566</v>
      </c>
      <c r="K19" s="24">
        <v>134838</v>
      </c>
      <c r="L19" s="24">
        <v>126047</v>
      </c>
      <c r="M19" s="24">
        <v>126673</v>
      </c>
      <c r="N19" s="24">
        <v>170592</v>
      </c>
      <c r="O19" s="24">
        <v>173102</v>
      </c>
      <c r="P19" s="24">
        <v>177449</v>
      </c>
      <c r="Q19" s="24">
        <v>166999</v>
      </c>
      <c r="R19" s="24">
        <v>138035</v>
      </c>
      <c r="S19" s="24">
        <v>140252</v>
      </c>
      <c r="T19" s="24">
        <v>138672</v>
      </c>
      <c r="U19" s="24">
        <v>140446</v>
      </c>
      <c r="V19" s="24">
        <v>148429</v>
      </c>
      <c r="W19" s="24">
        <v>148444</v>
      </c>
      <c r="X19" s="24">
        <v>144882</v>
      </c>
      <c r="Y19" s="24">
        <v>150738</v>
      </c>
      <c r="Z19" s="24">
        <v>162703</v>
      </c>
      <c r="AA19" s="24">
        <v>199514</v>
      </c>
      <c r="AB19" s="24">
        <v>196696</v>
      </c>
      <c r="AC19" s="24">
        <v>190644</v>
      </c>
      <c r="AD19" s="24">
        <v>152858</v>
      </c>
      <c r="AE19" s="24">
        <v>159303</v>
      </c>
      <c r="AF19" s="24">
        <v>156698</v>
      </c>
      <c r="AG19" s="24">
        <v>159398</v>
      </c>
      <c r="AH19" s="24">
        <v>166418</v>
      </c>
      <c r="AI19" s="24">
        <v>175169</v>
      </c>
      <c r="AJ19" s="24">
        <v>172537</v>
      </c>
      <c r="AK19" s="24">
        <v>173301</v>
      </c>
      <c r="AL19" s="24">
        <v>212952</v>
      </c>
      <c r="AM19" s="24">
        <v>206734</v>
      </c>
      <c r="AN19" s="24">
        <v>208655</v>
      </c>
      <c r="AO19" s="24">
        <v>201589</v>
      </c>
      <c r="AP19" s="24">
        <v>184029</v>
      </c>
      <c r="AQ19" s="24">
        <v>181318</v>
      </c>
      <c r="AR19" s="24">
        <v>180022</v>
      </c>
      <c r="AS19" s="24">
        <v>182386</v>
      </c>
      <c r="AT19" s="24">
        <v>193384</v>
      </c>
      <c r="AU19" s="24">
        <v>194704</v>
      </c>
      <c r="AV19" s="24">
        <v>203413</v>
      </c>
      <c r="AW19" s="24">
        <v>202685</v>
      </c>
      <c r="AX19" s="24">
        <v>220280</v>
      </c>
      <c r="AY19" s="24">
        <v>226284</v>
      </c>
      <c r="AZ19" s="24">
        <v>218674</v>
      </c>
      <c r="BA19" s="24">
        <v>209448</v>
      </c>
      <c r="BB19" s="24">
        <v>203572</v>
      </c>
      <c r="BC19" s="24">
        <v>205890</v>
      </c>
      <c r="BD19" s="24">
        <v>214440</v>
      </c>
      <c r="BE19" s="24">
        <v>202980</v>
      </c>
      <c r="BF19" s="24">
        <v>204155</v>
      </c>
      <c r="BG19" s="24">
        <v>221795</v>
      </c>
      <c r="BH19" s="24">
        <v>222387</v>
      </c>
      <c r="BI19" s="24">
        <v>219886</v>
      </c>
      <c r="BJ19" s="24">
        <v>229643</v>
      </c>
      <c r="BK19" s="24">
        <v>230037</v>
      </c>
      <c r="BL19" s="24">
        <v>230162</v>
      </c>
      <c r="BM19" s="24">
        <v>216388</v>
      </c>
      <c r="BN19" s="24">
        <v>213000</v>
      </c>
      <c r="BO19" s="24">
        <v>233995</v>
      </c>
      <c r="BP19" s="24">
        <v>227088</v>
      </c>
      <c r="BQ19" s="24">
        <v>211795</v>
      </c>
      <c r="BR19" s="24">
        <v>223280</v>
      </c>
      <c r="BS19" s="24">
        <v>226992</v>
      </c>
      <c r="BT19" s="24">
        <v>234558</v>
      </c>
      <c r="BU19" s="24">
        <v>233607</v>
      </c>
      <c r="BV19" s="24">
        <v>229088</v>
      </c>
      <c r="BW19" s="24">
        <v>234012</v>
      </c>
      <c r="BX19" s="24">
        <v>237318</v>
      </c>
      <c r="BY19" s="24">
        <v>221550</v>
      </c>
      <c r="BZ19" s="24">
        <v>212437</v>
      </c>
      <c r="CA19" s="24">
        <v>233212</v>
      </c>
      <c r="CB19" s="24">
        <v>241194</v>
      </c>
      <c r="CC19" s="24">
        <v>212052</v>
      </c>
      <c r="CD19" s="24">
        <v>230854</v>
      </c>
      <c r="CE19" s="24">
        <v>231539</v>
      </c>
      <c r="CF19" s="24">
        <v>236563</v>
      </c>
      <c r="CG19" s="24">
        <v>238260</v>
      </c>
      <c r="CH19" s="24">
        <v>242003</v>
      </c>
      <c r="CI19" s="24">
        <v>240736</v>
      </c>
      <c r="CJ19" s="24">
        <v>249826</v>
      </c>
      <c r="CK19" s="24">
        <v>220112</v>
      </c>
      <c r="CL19" s="24">
        <v>108868</v>
      </c>
      <c r="CM19" s="24">
        <v>95319</v>
      </c>
      <c r="CN19" s="24">
        <v>98272</v>
      </c>
      <c r="CO19" s="24">
        <v>95230</v>
      </c>
      <c r="CP19" s="24">
        <v>89956</v>
      </c>
      <c r="CQ19" s="24">
        <v>87763</v>
      </c>
      <c r="CR19" s="24">
        <v>89178</v>
      </c>
      <c r="CS19" s="24">
        <v>93464</v>
      </c>
    </row>
    <row r="20" spans="1:97" x14ac:dyDescent="0.25">
      <c r="A20" s="23">
        <v>460</v>
      </c>
      <c r="B20" s="24">
        <v>378305</v>
      </c>
      <c r="C20" s="24">
        <v>361791</v>
      </c>
      <c r="D20" s="24">
        <v>380027</v>
      </c>
      <c r="E20" s="24">
        <v>376539</v>
      </c>
      <c r="F20" s="24">
        <v>401068</v>
      </c>
      <c r="G20" s="24">
        <v>392887</v>
      </c>
      <c r="H20" s="24">
        <v>392600</v>
      </c>
      <c r="I20" s="24">
        <v>404690</v>
      </c>
      <c r="J20" s="24">
        <v>379379</v>
      </c>
      <c r="K20" s="24">
        <v>385947</v>
      </c>
      <c r="L20" s="24">
        <v>389266</v>
      </c>
      <c r="M20" s="24">
        <v>391838</v>
      </c>
      <c r="N20" s="24">
        <v>290904</v>
      </c>
      <c r="O20" s="24">
        <v>292711</v>
      </c>
      <c r="P20" s="24">
        <v>299326</v>
      </c>
      <c r="Q20" s="24">
        <v>293741</v>
      </c>
      <c r="R20" s="24">
        <v>360748</v>
      </c>
      <c r="S20" s="24">
        <v>372425</v>
      </c>
      <c r="T20" s="24">
        <v>373042</v>
      </c>
      <c r="U20" s="24">
        <v>370509</v>
      </c>
      <c r="V20" s="24">
        <v>354405</v>
      </c>
      <c r="W20" s="24">
        <v>349807</v>
      </c>
      <c r="X20" s="24">
        <v>360110</v>
      </c>
      <c r="Y20" s="24">
        <v>368578</v>
      </c>
      <c r="Z20" s="24">
        <v>204181</v>
      </c>
      <c r="AA20" s="24">
        <v>243599</v>
      </c>
      <c r="AB20" s="24">
        <v>247209</v>
      </c>
      <c r="AC20" s="24">
        <v>239610</v>
      </c>
      <c r="AD20" s="24">
        <v>304952</v>
      </c>
      <c r="AE20" s="24">
        <v>308258</v>
      </c>
      <c r="AF20" s="24">
        <v>309956</v>
      </c>
      <c r="AG20" s="24">
        <v>309028</v>
      </c>
      <c r="AH20" s="24">
        <v>309072</v>
      </c>
      <c r="AI20" s="24">
        <v>301951</v>
      </c>
      <c r="AJ20" s="24">
        <v>305305</v>
      </c>
      <c r="AK20" s="24">
        <v>309082</v>
      </c>
      <c r="AL20" s="24">
        <v>206510</v>
      </c>
      <c r="AM20" s="24">
        <v>207419</v>
      </c>
      <c r="AN20" s="24">
        <v>204206</v>
      </c>
      <c r="AO20" s="24">
        <v>203897</v>
      </c>
      <c r="AP20" s="24">
        <v>269495</v>
      </c>
      <c r="AQ20" s="24">
        <v>262430</v>
      </c>
      <c r="AR20" s="24">
        <v>260740</v>
      </c>
      <c r="AS20" s="24">
        <v>253496</v>
      </c>
      <c r="AT20" s="24">
        <v>245721</v>
      </c>
      <c r="AU20" s="24">
        <v>249955</v>
      </c>
      <c r="AV20" s="24">
        <v>258753</v>
      </c>
      <c r="AW20" s="24">
        <v>258312</v>
      </c>
      <c r="AX20" s="24">
        <v>187643</v>
      </c>
      <c r="AY20" s="24">
        <v>193165</v>
      </c>
      <c r="AZ20" s="24">
        <v>188170</v>
      </c>
      <c r="BA20" s="24">
        <v>176002</v>
      </c>
      <c r="BB20" s="24">
        <v>212688</v>
      </c>
      <c r="BC20" s="24">
        <v>229131</v>
      </c>
      <c r="BD20" s="24">
        <v>234776</v>
      </c>
      <c r="BE20" s="24">
        <v>222279</v>
      </c>
      <c r="BF20" s="24">
        <v>200816</v>
      </c>
      <c r="BG20" s="24">
        <v>208307</v>
      </c>
      <c r="BH20" s="24">
        <v>207719</v>
      </c>
      <c r="BI20" s="24">
        <v>214047</v>
      </c>
      <c r="BJ20" s="24">
        <v>175604</v>
      </c>
      <c r="BK20" s="24">
        <v>176567</v>
      </c>
      <c r="BL20" s="24">
        <v>175287</v>
      </c>
      <c r="BM20" s="24">
        <v>170489</v>
      </c>
      <c r="BN20" s="24">
        <v>180323</v>
      </c>
      <c r="BO20" s="24">
        <v>203439</v>
      </c>
      <c r="BP20" s="24">
        <v>202656</v>
      </c>
      <c r="BQ20" s="24">
        <v>185036</v>
      </c>
      <c r="BR20" s="24">
        <v>182444</v>
      </c>
      <c r="BS20" s="24">
        <v>184983</v>
      </c>
      <c r="BT20" s="24">
        <v>188638</v>
      </c>
      <c r="BU20" s="24">
        <v>188660</v>
      </c>
      <c r="BV20" s="24">
        <v>166713</v>
      </c>
      <c r="BW20" s="24">
        <v>169802</v>
      </c>
      <c r="BX20" s="24">
        <v>172670</v>
      </c>
      <c r="BY20" s="24">
        <v>160746</v>
      </c>
      <c r="BZ20" s="24">
        <v>162384</v>
      </c>
      <c r="CA20" s="24">
        <v>189936</v>
      </c>
      <c r="CB20" s="24">
        <v>191440</v>
      </c>
      <c r="CC20" s="24">
        <v>175490</v>
      </c>
      <c r="CD20" s="24">
        <v>178305</v>
      </c>
      <c r="CE20" s="24">
        <v>177505</v>
      </c>
      <c r="CF20" s="24">
        <v>178881</v>
      </c>
      <c r="CG20" s="24">
        <v>178104</v>
      </c>
      <c r="CH20" s="24">
        <v>155662</v>
      </c>
      <c r="CI20" s="24">
        <v>153278</v>
      </c>
      <c r="CJ20" s="24">
        <v>160230</v>
      </c>
      <c r="CK20" s="24">
        <v>140285</v>
      </c>
      <c r="CL20" s="24">
        <v>419551</v>
      </c>
      <c r="CM20" s="24">
        <v>373304</v>
      </c>
      <c r="CN20" s="24">
        <v>383382</v>
      </c>
      <c r="CO20" s="24">
        <v>375629</v>
      </c>
      <c r="CP20" s="24">
        <v>350211</v>
      </c>
      <c r="CQ20" s="24">
        <v>343986</v>
      </c>
      <c r="CR20" s="24">
        <v>349158</v>
      </c>
      <c r="CS20" s="24">
        <v>367765</v>
      </c>
    </row>
    <row r="21" spans="1:97" x14ac:dyDescent="0.25">
      <c r="A21" t="s">
        <v>97</v>
      </c>
      <c r="B21">
        <f>B20/B19</f>
        <v>3.0252782931354361</v>
      </c>
      <c r="C21">
        <f t="shared" ref="C21:AB21" si="3">C20/C19</f>
        <v>2.8298526375070394</v>
      </c>
      <c r="D21">
        <f t="shared" si="3"/>
        <v>3.0121428288352554</v>
      </c>
      <c r="E21">
        <f t="shared" si="3"/>
        <v>3.356321531714622</v>
      </c>
      <c r="F21">
        <f t="shared" si="3"/>
        <v>4.1955791742073165</v>
      </c>
      <c r="G21">
        <f t="shared" si="3"/>
        <v>3.6170112868479682</v>
      </c>
      <c r="H21">
        <f t="shared" si="3"/>
        <v>3.3494578246440243</v>
      </c>
      <c r="I21">
        <f t="shared" si="3"/>
        <v>3.509735050518191</v>
      </c>
      <c r="J21">
        <f t="shared" si="3"/>
        <v>2.9739820955426994</v>
      </c>
      <c r="K21">
        <f t="shared" si="3"/>
        <v>2.8623014283807233</v>
      </c>
      <c r="L21">
        <f t="shared" si="3"/>
        <v>3.0882607281410901</v>
      </c>
      <c r="M21">
        <f t="shared" si="3"/>
        <v>3.0933032295753633</v>
      </c>
      <c r="N21">
        <f t="shared" si="3"/>
        <v>1.7052616769836804</v>
      </c>
      <c r="O21">
        <f t="shared" si="3"/>
        <v>1.690974107751499</v>
      </c>
      <c r="P21">
        <f t="shared" si="3"/>
        <v>1.6868283281393528</v>
      </c>
      <c r="Q21">
        <f t="shared" si="3"/>
        <v>1.7589386762794987</v>
      </c>
      <c r="R21">
        <f t="shared" si="3"/>
        <v>2.6134531097185496</v>
      </c>
      <c r="S21">
        <f t="shared" si="3"/>
        <v>2.6553988534922852</v>
      </c>
      <c r="T21">
        <f t="shared" si="3"/>
        <v>2.6901032652590287</v>
      </c>
      <c r="U21">
        <f t="shared" si="3"/>
        <v>2.638088660410407</v>
      </c>
      <c r="V21">
        <f t="shared" si="3"/>
        <v>2.38770725397328</v>
      </c>
      <c r="W21">
        <f t="shared" si="3"/>
        <v>2.3564913368004095</v>
      </c>
      <c r="X21">
        <f t="shared" si="3"/>
        <v>2.4855399566543808</v>
      </c>
      <c r="Y21">
        <f t="shared" si="3"/>
        <v>2.4451564967028885</v>
      </c>
      <c r="Z21">
        <f t="shared" si="3"/>
        <v>1.2549307634155487</v>
      </c>
      <c r="AA21">
        <f t="shared" si="3"/>
        <v>1.2209619375081449</v>
      </c>
      <c r="AB21">
        <f t="shared" si="3"/>
        <v>1.2568074592264205</v>
      </c>
      <c r="AC21">
        <f>AC20/AC19</f>
        <v>1.2568452193617423</v>
      </c>
      <c r="AD21">
        <f t="shared" ref="AD21" si="4">AD20/AD19</f>
        <v>1.9950018971856232</v>
      </c>
      <c r="AE21">
        <f t="shared" ref="AE21" si="5">AE20/AE19</f>
        <v>1.9350420268293755</v>
      </c>
      <c r="AF21">
        <f t="shared" ref="AF21" si="6">AF20/AF19</f>
        <v>1.9780469438027288</v>
      </c>
      <c r="AG21">
        <f t="shared" ref="AG21" si="7">AG20/AG19</f>
        <v>1.9387194318623822</v>
      </c>
      <c r="AH21">
        <f t="shared" ref="AH21" si="8">AH20/AH19</f>
        <v>1.8572029467966205</v>
      </c>
      <c r="AI21">
        <f t="shared" ref="AI21" si="9">AI20/AI19</f>
        <v>1.7237696167700907</v>
      </c>
      <c r="AJ21">
        <f t="shared" ref="AJ21" si="10">AJ20/AJ19</f>
        <v>1.7695045120756707</v>
      </c>
      <c r="AK21">
        <f t="shared" ref="AK21" si="11">AK20/AK19</f>
        <v>1.7834980756025642</v>
      </c>
      <c r="AL21">
        <f t="shared" ref="AL21" si="12">AL20/AL19</f>
        <v>0.96974905142943013</v>
      </c>
      <c r="AM21">
        <f t="shared" ref="AM21" si="13">AM20/AM19</f>
        <v>1.0033134365900143</v>
      </c>
      <c r="AN21">
        <f t="shared" ref="AN21" si="14">AN20/AN19</f>
        <v>0.97867772159785293</v>
      </c>
      <c r="AO21">
        <f>AO20/AO19</f>
        <v>1.011449037397874</v>
      </c>
      <c r="AP21">
        <f t="shared" ref="AP21" si="15">AP20/AP19</f>
        <v>1.4644159344451146</v>
      </c>
      <c r="AQ21">
        <f t="shared" ref="AQ21" si="16">AQ20/AQ19</f>
        <v>1.4473466506358994</v>
      </c>
      <c r="AR21">
        <f t="shared" ref="AR21" si="17">AR20/AR19</f>
        <v>1.448378531512815</v>
      </c>
      <c r="AS21">
        <f t="shared" ref="AS21" si="18">AS20/AS19</f>
        <v>1.3898873817069293</v>
      </c>
      <c r="AT21">
        <f t="shared" ref="AT21" si="19">AT20/AT19</f>
        <v>1.27063769494891</v>
      </c>
      <c r="AU21">
        <f t="shared" ref="AU21" si="20">AU20/AU19</f>
        <v>1.2837692086449175</v>
      </c>
      <c r="AV21">
        <f t="shared" ref="AV21" si="21">AV20/AV19</f>
        <v>1.2720573414678511</v>
      </c>
      <c r="AW21">
        <f t="shared" ref="AW21" si="22">AW20/AW19</f>
        <v>1.274450502010509</v>
      </c>
      <c r="AX21">
        <f t="shared" ref="AX21" si="23">AX20/AX19</f>
        <v>0.85183856909388056</v>
      </c>
      <c r="AY21">
        <f t="shared" ref="AY21" si="24">AY20/AY19</f>
        <v>0.85363967403793461</v>
      </c>
      <c r="AZ21">
        <f t="shared" ref="AZ21" si="25">AZ20/AZ19</f>
        <v>0.86050467819676779</v>
      </c>
      <c r="BA21">
        <f t="shared" ref="BA21" si="26">BA20/BA19</f>
        <v>0.84031358618845731</v>
      </c>
      <c r="BB21">
        <f t="shared" ref="BB21" si="27">BB20/BB19</f>
        <v>1.0447802251783154</v>
      </c>
      <c r="BC21">
        <f t="shared" ref="BC21" si="28">BC20/BC19</f>
        <v>1.112880664432464</v>
      </c>
      <c r="BD21">
        <f t="shared" ref="BD21" si="29">BD20/BD19</f>
        <v>1.0948330535347883</v>
      </c>
      <c r="BE21">
        <f t="shared" ref="BE21" si="30">BE20/BE19</f>
        <v>1.0950783328406739</v>
      </c>
      <c r="BF21">
        <f t="shared" ref="BF21" si="31">BF20/BF19</f>
        <v>0.98364477970169728</v>
      </c>
      <c r="BG21">
        <f t="shared" ref="BG21" si="32">BG20/BG19</f>
        <v>0.93918708717509414</v>
      </c>
      <c r="BH21">
        <f>BH20/BH19</f>
        <v>0.93404290718432281</v>
      </c>
      <c r="BI21">
        <f t="shared" ref="BI21" si="33">BI20/BI19</f>
        <v>0.97344533076230411</v>
      </c>
      <c r="BJ21">
        <f t="shared" ref="BJ21" si="34">BJ20/BJ19</f>
        <v>0.76468257251472938</v>
      </c>
      <c r="BK21">
        <f t="shared" ref="BK21" si="35">BK20/BK19</f>
        <v>0.76755913179184221</v>
      </c>
      <c r="BL21">
        <f t="shared" ref="BL21" si="36">BL20/BL19</f>
        <v>0.76158097340134345</v>
      </c>
      <c r="BM21">
        <f t="shared" ref="BM21" si="37">BM20/BM19</f>
        <v>0.78788564985119325</v>
      </c>
      <c r="BN21">
        <f t="shared" ref="BN21" si="38">BN20/BN19</f>
        <v>0.84658685446009385</v>
      </c>
      <c r="BO21">
        <f t="shared" ref="BO21" si="39">BO20/BO19</f>
        <v>0.86941601316267436</v>
      </c>
      <c r="BP21">
        <f t="shared" ref="BP21" si="40">BP20/BP19</f>
        <v>0.89241175227224689</v>
      </c>
      <c r="BQ21">
        <f t="shared" ref="BQ21" si="41">BQ20/BQ19</f>
        <v>0.87365612974810547</v>
      </c>
      <c r="BR21">
        <f t="shared" ref="BR21" si="42">BR20/BR19</f>
        <v>0.8171085632389824</v>
      </c>
      <c r="BS21">
        <f t="shared" ref="BS21" si="43">BS20/BS19</f>
        <v>0.81493180376400931</v>
      </c>
      <c r="BT21">
        <f t="shared" ref="BT21" si="44">BT20/BT19</f>
        <v>0.80422752581451074</v>
      </c>
      <c r="BU21">
        <f t="shared" ref="BU21" si="45">BU20/BU19</f>
        <v>0.80759566280120032</v>
      </c>
      <c r="BV21">
        <f t="shared" ref="BV21" si="46">BV20/BV19</f>
        <v>0.72772471713926523</v>
      </c>
      <c r="BW21">
        <f t="shared" ref="BW21" si="47">BW20/BW19</f>
        <v>0.72561236175922605</v>
      </c>
      <c r="BX21">
        <f t="shared" ref="BX21" si="48">BX20/BX19</f>
        <v>0.72758914199512892</v>
      </c>
      <c r="BY21">
        <f t="shared" ref="BY21" si="49">BY20/BY19</f>
        <v>0.72555179417738658</v>
      </c>
      <c r="BZ21">
        <f t="shared" ref="BZ21" si="50">BZ20/BZ19</f>
        <v>0.76438661815032216</v>
      </c>
      <c r="CA21">
        <f t="shared" ref="CA21" si="51">CA20/CA19</f>
        <v>0.81443493473749207</v>
      </c>
      <c r="CB21">
        <f t="shared" ref="CB21" si="52">CB20/CB19</f>
        <v>0.79371792001459407</v>
      </c>
      <c r="CC21">
        <f t="shared" ref="CC21" si="53">CC20/CC19</f>
        <v>0.8275800275404146</v>
      </c>
      <c r="CD21">
        <f>CD20/CD19</f>
        <v>0.77237128228230834</v>
      </c>
      <c r="CE21">
        <f t="shared" ref="CE21" si="54">CE20/CE19</f>
        <v>0.76663110750240782</v>
      </c>
      <c r="CF21">
        <f t="shared" ref="CF21" si="55">CF20/CF19</f>
        <v>0.7561664334659266</v>
      </c>
      <c r="CG21">
        <f t="shared" ref="CG21" si="56">CG20/CG19</f>
        <v>0.7475195164945857</v>
      </c>
      <c r="CH21">
        <f t="shared" ref="CH21" si="57">CH20/CH19</f>
        <v>0.64322343111449032</v>
      </c>
      <c r="CI21">
        <f t="shared" ref="CI21" si="58">CI20/CI19</f>
        <v>0.63670576897514286</v>
      </c>
      <c r="CJ21">
        <f t="shared" ref="CJ21" si="59">CJ20/CJ19</f>
        <v>0.64136639100814163</v>
      </c>
      <c r="CK21">
        <f t="shared" ref="CK21" si="60">CK20/CK19</f>
        <v>0.63733462964309084</v>
      </c>
      <c r="CL21">
        <f t="shared" ref="CL21" si="61">CL20/CL19</f>
        <v>3.8537586802366168</v>
      </c>
      <c r="CM21">
        <f t="shared" ref="CM21" si="62">CM20/CM19</f>
        <v>3.9163650478918157</v>
      </c>
      <c r="CN21">
        <f t="shared" ref="CN21" si="63">CN20/CN19</f>
        <v>3.9012333116248779</v>
      </c>
      <c r="CO21">
        <f t="shared" ref="CO21" si="64">CO20/CO19</f>
        <v>3.9444397773810773</v>
      </c>
      <c r="CP21">
        <f t="shared" ref="CP21" si="65">CP20/CP19</f>
        <v>3.8931366445817956</v>
      </c>
      <c r="CQ21">
        <f t="shared" ref="CQ21" si="66">CQ20/CQ19</f>
        <v>3.9194877112222692</v>
      </c>
      <c r="CR21">
        <f t="shared" ref="CR21" si="67">CR20/CR19</f>
        <v>3.9152930094866445</v>
      </c>
      <c r="CS21">
        <f t="shared" ref="CS21" si="68">CS20/CS19</f>
        <v>3.9348305229821108</v>
      </c>
    </row>
    <row r="23" spans="1:97" x14ac:dyDescent="0.25">
      <c r="A23" s="9" t="s">
        <v>101</v>
      </c>
    </row>
    <row r="24" spans="1:9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</row>
    <row r="25" spans="1:97" ht="15.75" x14ac:dyDescent="0.25">
      <c r="A25" s="2"/>
      <c r="B25" s="3">
        <f>B21</f>
        <v>3.0252782931354361</v>
      </c>
      <c r="C25" s="3">
        <f t="shared" ref="C25:E25" si="69">C21</f>
        <v>2.8298526375070394</v>
      </c>
      <c r="D25" s="3">
        <f t="shared" si="69"/>
        <v>3.0121428288352554</v>
      </c>
      <c r="E25" s="3">
        <f t="shared" si="69"/>
        <v>3.356321531714622</v>
      </c>
      <c r="F25" s="4">
        <f>F21</f>
        <v>4.1955791742073165</v>
      </c>
      <c r="G25" s="4">
        <f t="shared" ref="G25:I25" si="70">G21</f>
        <v>3.6170112868479682</v>
      </c>
      <c r="H25" s="4">
        <f t="shared" si="70"/>
        <v>3.3494578246440243</v>
      </c>
      <c r="I25" s="4">
        <f t="shared" si="70"/>
        <v>3.509735050518191</v>
      </c>
      <c r="J25" s="5">
        <f>J21</f>
        <v>2.9739820955426994</v>
      </c>
      <c r="K25" s="5">
        <f t="shared" ref="K25:M25" si="71">K21</f>
        <v>2.8623014283807233</v>
      </c>
      <c r="L25" s="5">
        <f t="shared" si="71"/>
        <v>3.0882607281410901</v>
      </c>
      <c r="M25" s="5">
        <f t="shared" si="71"/>
        <v>3.0933032295753633</v>
      </c>
    </row>
    <row r="26" spans="1:97" ht="15.75" x14ac:dyDescent="0.25">
      <c r="A26" s="2"/>
      <c r="B26" s="3">
        <f>N21</f>
        <v>1.7052616769836804</v>
      </c>
      <c r="C26" s="3">
        <f t="shared" ref="C26:E26" si="72">O21</f>
        <v>1.690974107751499</v>
      </c>
      <c r="D26" s="3">
        <f t="shared" si="72"/>
        <v>1.6868283281393528</v>
      </c>
      <c r="E26" s="3">
        <f t="shared" si="72"/>
        <v>1.7589386762794987</v>
      </c>
      <c r="F26" s="4">
        <f>R21</f>
        <v>2.6134531097185496</v>
      </c>
      <c r="G26" s="4">
        <f t="shared" ref="G26:I26" si="73">S21</f>
        <v>2.6553988534922852</v>
      </c>
      <c r="H26" s="4">
        <f t="shared" si="73"/>
        <v>2.6901032652590287</v>
      </c>
      <c r="I26" s="4">
        <f t="shared" si="73"/>
        <v>2.638088660410407</v>
      </c>
      <c r="J26" s="5">
        <f>V21</f>
        <v>2.38770725397328</v>
      </c>
      <c r="K26" s="5">
        <f t="shared" ref="K26:M26" si="74">W21</f>
        <v>2.3564913368004095</v>
      </c>
      <c r="L26" s="5">
        <f t="shared" si="74"/>
        <v>2.4855399566543808</v>
      </c>
      <c r="M26" s="5">
        <f t="shared" si="74"/>
        <v>2.4451564967028885</v>
      </c>
      <c r="Q26">
        <v>56</v>
      </c>
      <c r="T26">
        <v>57</v>
      </c>
      <c r="W26" t="s">
        <v>103</v>
      </c>
    </row>
    <row r="27" spans="1:97" ht="15.75" x14ac:dyDescent="0.25">
      <c r="A27" s="2"/>
      <c r="B27" s="3">
        <f>Z21</f>
        <v>1.2549307634155487</v>
      </c>
      <c r="C27" s="3">
        <f t="shared" ref="C27:E27" si="75">AA21</f>
        <v>1.2209619375081449</v>
      </c>
      <c r="D27" s="3">
        <f t="shared" si="75"/>
        <v>1.2568074592264205</v>
      </c>
      <c r="E27" s="3">
        <f t="shared" si="75"/>
        <v>1.2568452193617423</v>
      </c>
      <c r="F27" s="4">
        <f>AD21</f>
        <v>1.9950018971856232</v>
      </c>
      <c r="G27" s="4">
        <f t="shared" ref="G27:I27" si="76">AE21</f>
        <v>1.9350420268293755</v>
      </c>
      <c r="H27" s="4">
        <f t="shared" si="76"/>
        <v>1.9780469438027288</v>
      </c>
      <c r="I27" s="4">
        <f t="shared" si="76"/>
        <v>1.9387194318623822</v>
      </c>
      <c r="J27" s="5">
        <f>AH21</f>
        <v>1.8572029467966205</v>
      </c>
      <c r="K27" s="5">
        <f t="shared" ref="K27:M27" si="77">AI21</f>
        <v>1.7237696167700907</v>
      </c>
      <c r="L27" s="5">
        <f t="shared" si="77"/>
        <v>1.7695045120756707</v>
      </c>
      <c r="M27" s="5">
        <f t="shared" si="77"/>
        <v>1.7834980756025642</v>
      </c>
      <c r="Q27" t="s">
        <v>107</v>
      </c>
      <c r="R27" t="s">
        <v>108</v>
      </c>
      <c r="S27" t="s">
        <v>109</v>
      </c>
      <c r="T27" t="s">
        <v>107</v>
      </c>
      <c r="U27" t="s">
        <v>108</v>
      </c>
      <c r="V27" t="s">
        <v>109</v>
      </c>
      <c r="W27" t="s">
        <v>107</v>
      </c>
      <c r="X27" t="s">
        <v>108</v>
      </c>
      <c r="Y27" t="s">
        <v>109</v>
      </c>
    </row>
    <row r="28" spans="1:97" ht="15.75" x14ac:dyDescent="0.25">
      <c r="A28" s="2"/>
      <c r="B28" s="3">
        <f>AL21</f>
        <v>0.96974905142943013</v>
      </c>
      <c r="C28" s="3">
        <f t="shared" ref="C28:E28" si="78">AM21</f>
        <v>1.0033134365900143</v>
      </c>
      <c r="D28" s="3">
        <f t="shared" si="78"/>
        <v>0.97867772159785293</v>
      </c>
      <c r="E28" s="3">
        <f t="shared" si="78"/>
        <v>1.011449037397874</v>
      </c>
      <c r="F28" s="4">
        <f>AP21</f>
        <v>1.4644159344451146</v>
      </c>
      <c r="G28" s="4">
        <f t="shared" ref="G28:I28" si="79">AQ21</f>
        <v>1.4473466506358994</v>
      </c>
      <c r="H28" s="4">
        <f t="shared" si="79"/>
        <v>1.448378531512815</v>
      </c>
      <c r="I28" s="4">
        <f t="shared" si="79"/>
        <v>1.3898873817069293</v>
      </c>
      <c r="J28" s="5">
        <f>AT21</f>
        <v>1.27063769494891</v>
      </c>
      <c r="K28" s="5">
        <f t="shared" ref="K28:M28" si="80">AU21</f>
        <v>1.2837692086449175</v>
      </c>
      <c r="L28" s="5">
        <f t="shared" si="80"/>
        <v>1.2720573414678511</v>
      </c>
      <c r="M28" s="5">
        <f t="shared" si="80"/>
        <v>1.274450502010509</v>
      </c>
      <c r="Q28">
        <v>30</v>
      </c>
      <c r="R28">
        <f>AVERAGE(B40:E40)</f>
        <v>73.887542927537226</v>
      </c>
      <c r="S28">
        <f>STDEV(B40:E40)</f>
        <v>6.7043592170215138</v>
      </c>
      <c r="T28">
        <v>30</v>
      </c>
      <c r="U28">
        <f>AVERAGE(F40:J40)</f>
        <v>88.359439911785358</v>
      </c>
      <c r="V28">
        <f>STDEV(F40:J40)</f>
        <v>13.613262786349813</v>
      </c>
      <c r="W28">
        <v>30</v>
      </c>
      <c r="X28">
        <f t="shared" ref="X28:X34" si="81">AVERAGE(K40:M40)</f>
        <v>72.625310476991032</v>
      </c>
      <c r="Y28">
        <f>STDEV(K40:M40)</f>
        <v>4.0345847870349276</v>
      </c>
    </row>
    <row r="29" spans="1:97" ht="15.75" x14ac:dyDescent="0.25">
      <c r="A29" s="2"/>
      <c r="B29" s="3">
        <f>AX21</f>
        <v>0.85183856909388056</v>
      </c>
      <c r="C29" s="3">
        <f t="shared" ref="C29:E29" si="82">AY21</f>
        <v>0.85363967403793461</v>
      </c>
      <c r="D29" s="3">
        <f t="shared" si="82"/>
        <v>0.86050467819676779</v>
      </c>
      <c r="E29" s="3">
        <f t="shared" si="82"/>
        <v>0.84031358618845731</v>
      </c>
      <c r="F29" s="4">
        <f>BB21</f>
        <v>1.0447802251783154</v>
      </c>
      <c r="G29" s="4">
        <f t="shared" ref="G29:I29" si="83">BC21</f>
        <v>1.112880664432464</v>
      </c>
      <c r="H29" s="4">
        <f t="shared" si="83"/>
        <v>1.0948330535347883</v>
      </c>
      <c r="I29" s="4">
        <f t="shared" si="83"/>
        <v>1.0950783328406739</v>
      </c>
      <c r="J29" s="5">
        <f>BF21</f>
        <v>0.98364477970169728</v>
      </c>
      <c r="K29" s="5">
        <f t="shared" ref="K29:M29" si="84">BG21</f>
        <v>0.93918708717509414</v>
      </c>
      <c r="L29" s="5">
        <f t="shared" si="84"/>
        <v>0.93404290718432281</v>
      </c>
      <c r="M29" s="5">
        <f t="shared" si="84"/>
        <v>0.97344533076230411</v>
      </c>
      <c r="Q29">
        <v>20</v>
      </c>
      <c r="R29">
        <f t="shared" ref="R29:R34" si="85">AVERAGE(B41:E41)</f>
        <v>32.745889117680875</v>
      </c>
      <c r="S29">
        <f t="shared" ref="S29:S34" si="86">STDEV(B41:E41)</f>
        <v>1.0165652203805178</v>
      </c>
      <c r="T29">
        <v>20</v>
      </c>
      <c r="U29">
        <f>AVERAGE(F41:J41)</f>
        <v>59.853106709580288</v>
      </c>
      <c r="V29">
        <f t="shared" ref="V29:V34" si="87">STDEV(F41:J41)</f>
        <v>3.6772155121152195</v>
      </c>
      <c r="W29">
        <v>20</v>
      </c>
      <c r="X29">
        <f t="shared" si="81"/>
        <v>54.719180403585021</v>
      </c>
      <c r="Y29">
        <f t="shared" ref="Y29:Y34" si="88">STDEV(K41:M41)</f>
        <v>2.018631005787936</v>
      </c>
    </row>
    <row r="30" spans="1:97" ht="15.75" x14ac:dyDescent="0.25">
      <c r="A30" s="6"/>
      <c r="B30" s="3">
        <f>BJ21</f>
        <v>0.76468257251472938</v>
      </c>
      <c r="C30" s="3">
        <f t="shared" ref="C30:E30" si="89">BK21</f>
        <v>0.76755913179184221</v>
      </c>
      <c r="D30" s="3">
        <f t="shared" si="89"/>
        <v>0.76158097340134345</v>
      </c>
      <c r="E30" s="3">
        <f t="shared" si="89"/>
        <v>0.78788564985119325</v>
      </c>
      <c r="F30" s="4">
        <f>BN21</f>
        <v>0.84658685446009385</v>
      </c>
      <c r="G30" s="4">
        <f t="shared" ref="G30:I30" si="90">BO21</f>
        <v>0.86941601316267436</v>
      </c>
      <c r="H30" s="4">
        <f t="shared" si="90"/>
        <v>0.89241175227224689</v>
      </c>
      <c r="I30" s="4">
        <f t="shared" si="90"/>
        <v>0.87365612974810547</v>
      </c>
      <c r="J30" s="5">
        <f>BR21</f>
        <v>0.8171085632389824</v>
      </c>
      <c r="K30" s="5">
        <f t="shared" ref="K30:M30" si="91">BS21</f>
        <v>0.81493180376400931</v>
      </c>
      <c r="L30" s="5">
        <f t="shared" si="91"/>
        <v>0.80422752581451074</v>
      </c>
      <c r="M30" s="5">
        <f t="shared" si="91"/>
        <v>0.80759566280120032</v>
      </c>
      <c r="Q30">
        <v>13.333333333333334</v>
      </c>
      <c r="R30">
        <f t="shared" si="85"/>
        <v>18.584065936877934</v>
      </c>
      <c r="S30">
        <f t="shared" si="86"/>
        <v>0.5393902537520503</v>
      </c>
      <c r="T30">
        <v>13.333333333333334</v>
      </c>
      <c r="U30">
        <f t="shared" ref="U30:U34" si="92">AVERAGE(F42:J42)</f>
        <v>39.788416531349426</v>
      </c>
      <c r="V30">
        <f t="shared" si="87"/>
        <v>1.6289977895422163</v>
      </c>
      <c r="W30">
        <v>13.333333333333334</v>
      </c>
      <c r="X30">
        <f t="shared" si="81"/>
        <v>34.226653452410623</v>
      </c>
      <c r="Y30">
        <f t="shared" si="88"/>
        <v>0.95525287513194124</v>
      </c>
    </row>
    <row r="31" spans="1:97" ht="16.5" thickBot="1" x14ac:dyDescent="0.3">
      <c r="A31" s="7"/>
      <c r="B31" s="3">
        <f>BV21</f>
        <v>0.72772471713926523</v>
      </c>
      <c r="C31" s="3">
        <f t="shared" ref="C31:E31" si="93">BW21</f>
        <v>0.72561236175922605</v>
      </c>
      <c r="D31" s="3">
        <f t="shared" si="93"/>
        <v>0.72758914199512892</v>
      </c>
      <c r="E31" s="3">
        <f t="shared" si="93"/>
        <v>0.72555179417738658</v>
      </c>
      <c r="F31" s="4">
        <f>BZ21</f>
        <v>0.76438661815032216</v>
      </c>
      <c r="G31" s="4">
        <f t="shared" ref="G31:I31" si="94">CA21</f>
        <v>0.81443493473749207</v>
      </c>
      <c r="H31" s="4">
        <f t="shared" si="94"/>
        <v>0.79371792001459407</v>
      </c>
      <c r="I31" s="4">
        <f t="shared" si="94"/>
        <v>0.8275800275404146</v>
      </c>
      <c r="J31" s="5">
        <f>CD21</f>
        <v>0.77237128228230834</v>
      </c>
      <c r="K31" s="5">
        <f t="shared" ref="K31:M31" si="95">CE21</f>
        <v>0.76663110750240782</v>
      </c>
      <c r="L31" s="5">
        <f t="shared" si="95"/>
        <v>0.7561664334659266</v>
      </c>
      <c r="M31" s="5">
        <f t="shared" si="95"/>
        <v>0.7475195164945857</v>
      </c>
      <c r="Q31">
        <v>8.8888888888888893</v>
      </c>
      <c r="R31">
        <f t="shared" si="85"/>
        <v>10.737691713484352</v>
      </c>
      <c r="S31">
        <f t="shared" si="86"/>
        <v>0.60468692213871611</v>
      </c>
      <c r="T31">
        <v>8.8888888888888893</v>
      </c>
      <c r="U31">
        <f>AVERAGE(F43:J43)</f>
        <v>23.377313613578956</v>
      </c>
      <c r="V31">
        <f t="shared" si="87"/>
        <v>2.4407688941441035</v>
      </c>
      <c r="W31">
        <v>8.8888888888888893</v>
      </c>
      <c r="X31">
        <f t="shared" si="81"/>
        <v>19.482268707052015</v>
      </c>
      <c r="Y31">
        <f t="shared" si="88"/>
        <v>0.18922012220655696</v>
      </c>
    </row>
    <row r="32" spans="1:97" x14ac:dyDescent="0.25">
      <c r="A32" s="1"/>
      <c r="B32" s="3">
        <f>CH21</f>
        <v>0.64322343111449032</v>
      </c>
      <c r="C32" s="3">
        <f t="shared" ref="C32:E32" si="96">CI21</f>
        <v>0.63670576897514286</v>
      </c>
      <c r="D32" s="3">
        <f t="shared" si="96"/>
        <v>0.64136639100814163</v>
      </c>
      <c r="E32" s="3">
        <f t="shared" si="96"/>
        <v>0.63733462964309084</v>
      </c>
      <c r="F32" s="4">
        <f>CL21</f>
        <v>3.8537586802366168</v>
      </c>
      <c r="G32" s="4">
        <f t="shared" ref="G32:I32" si="97">CM21</f>
        <v>3.9163650478918157</v>
      </c>
      <c r="H32" s="4">
        <f t="shared" si="97"/>
        <v>3.9012333116248779</v>
      </c>
      <c r="I32" s="4">
        <f t="shared" si="97"/>
        <v>3.9444397773810773</v>
      </c>
      <c r="J32" s="5">
        <f>CP21</f>
        <v>3.8931366445817956</v>
      </c>
      <c r="K32" s="5">
        <f t="shared" ref="K32:M32" si="98">CQ21</f>
        <v>3.9194877112222692</v>
      </c>
      <c r="L32" s="5">
        <f t="shared" si="98"/>
        <v>3.9152930094866445</v>
      </c>
      <c r="M32" s="5">
        <f t="shared" si="98"/>
        <v>3.9348305229821108</v>
      </c>
      <c r="Q32">
        <v>5.9259259259259265</v>
      </c>
      <c r="R32">
        <f t="shared" si="85"/>
        <v>6.4803109681052273</v>
      </c>
      <c r="S32">
        <f t="shared" si="86"/>
        <v>0.25638892375007655</v>
      </c>
      <c r="T32">
        <v>5.9259259259259265</v>
      </c>
      <c r="U32">
        <f t="shared" si="92"/>
        <v>13.044798616116946</v>
      </c>
      <c r="V32">
        <f t="shared" si="87"/>
        <v>1.6113890671583475</v>
      </c>
      <c r="W32">
        <v>5.9259259259259265</v>
      </c>
      <c r="X32">
        <f t="shared" si="81"/>
        <v>9.4562397391711848</v>
      </c>
      <c r="Y32">
        <f t="shared" si="88"/>
        <v>0.65498307132521638</v>
      </c>
    </row>
    <row r="33" spans="1:25" x14ac:dyDescent="0.25">
      <c r="Q33">
        <v>3.9506172839506175</v>
      </c>
      <c r="R33">
        <f t="shared" si="85"/>
        <v>3.9988717796972209</v>
      </c>
      <c r="S33">
        <f t="shared" si="86"/>
        <v>0.36366077107549566</v>
      </c>
      <c r="T33">
        <v>3.9506172839506175</v>
      </c>
      <c r="U33">
        <f t="shared" si="92"/>
        <v>6.732951033136068</v>
      </c>
      <c r="V33">
        <f t="shared" si="87"/>
        <v>0.88431536495631535</v>
      </c>
      <c r="W33">
        <v>3.9506172839506175</v>
      </c>
      <c r="X33">
        <f t="shared" si="81"/>
        <v>5.1759164083981046</v>
      </c>
      <c r="Y33">
        <f t="shared" si="88"/>
        <v>0.1673722918749978</v>
      </c>
    </row>
    <row r="34" spans="1:25" x14ac:dyDescent="0.25">
      <c r="A34" t="s">
        <v>99</v>
      </c>
      <c r="C34" s="3">
        <f>AVERAGE(F32:M32)</f>
        <v>3.9098180881759008</v>
      </c>
      <c r="G34" s="4"/>
      <c r="K34" s="5"/>
      <c r="Q34">
        <v>2.6337448559670782</v>
      </c>
      <c r="R34">
        <f t="shared" si="85"/>
        <v>2.6592562568482028</v>
      </c>
      <c r="S34">
        <f t="shared" si="86"/>
        <v>3.6678596786673699E-2</v>
      </c>
      <c r="T34">
        <v>2.6337448559670782</v>
      </c>
      <c r="U34">
        <f t="shared" si="92"/>
        <v>4.7349541344443518</v>
      </c>
      <c r="V34">
        <f t="shared" si="87"/>
        <v>0.82178739048050564</v>
      </c>
      <c r="W34">
        <v>2.6337448559670782</v>
      </c>
      <c r="X34">
        <f t="shared" si="81"/>
        <v>3.5813164559024808</v>
      </c>
      <c r="Y34">
        <f t="shared" si="88"/>
        <v>0.29265206484278189</v>
      </c>
    </row>
    <row r="36" spans="1:25" x14ac:dyDescent="0.25">
      <c r="A36" t="s">
        <v>100</v>
      </c>
      <c r="C36" s="3">
        <f>AVERAGE(B32:E32)</f>
        <v>0.63965755518521639</v>
      </c>
      <c r="G36" s="8"/>
      <c r="K36" s="5"/>
    </row>
    <row r="39" spans="1:25" x14ac:dyDescent="0.25">
      <c r="A39" s="9" t="s">
        <v>102</v>
      </c>
    </row>
    <row r="40" spans="1:25" ht="15.75" x14ac:dyDescent="0.25">
      <c r="A40" s="2"/>
      <c r="B40" s="3">
        <f>(B25-$C$36)/($C$34-$C$36)*100</f>
        <v>72.951181261076499</v>
      </c>
      <c r="C40" s="3">
        <f t="shared" ref="C40:M40" si="99">(C25-$C$36)/($C$34-$C$36)*100</f>
        <v>66.975154896105607</v>
      </c>
      <c r="D40" s="3">
        <f t="shared" si="99"/>
        <v>72.549504824471484</v>
      </c>
      <c r="E40" s="3">
        <f t="shared" si="99"/>
        <v>83.074330728495298</v>
      </c>
      <c r="F40" s="3">
        <f t="shared" si="99"/>
        <v>108.73844213911042</v>
      </c>
      <c r="G40" s="3">
        <f t="shared" si="99"/>
        <v>91.046103138546854</v>
      </c>
      <c r="H40" s="3">
        <f t="shared" si="99"/>
        <v>82.86444173370883</v>
      </c>
      <c r="I40" s="3">
        <f t="shared" si="99"/>
        <v>87.765645336933389</v>
      </c>
      <c r="J40" s="3">
        <f t="shared" si="99"/>
        <v>71.382567210627286</v>
      </c>
      <c r="K40" s="3">
        <f t="shared" si="99"/>
        <v>67.967423946701956</v>
      </c>
      <c r="L40" s="3">
        <f t="shared" si="99"/>
        <v>74.877155058700879</v>
      </c>
      <c r="M40" s="3">
        <f t="shared" si="99"/>
        <v>75.031352425570262</v>
      </c>
    </row>
    <row r="41" spans="1:25" ht="15.75" x14ac:dyDescent="0.25">
      <c r="A41" s="2"/>
      <c r="B41" s="3">
        <f t="shared" ref="B41:F41" si="100">(B26-$C$36)/($C$34-$C$36)*100</f>
        <v>32.585682294438591</v>
      </c>
      <c r="C41" s="3">
        <f t="shared" si="100"/>
        <v>32.14877502068115</v>
      </c>
      <c r="D41" s="3">
        <f t="shared" si="100"/>
        <v>32.021998993317297</v>
      </c>
      <c r="E41" s="3">
        <f t="shared" si="100"/>
        <v>34.227100162286462</v>
      </c>
      <c r="F41" s="3">
        <f t="shared" si="100"/>
        <v>60.357757199406457</v>
      </c>
      <c r="G41" s="3">
        <f t="shared" ref="G41" si="101">(G26-$C$36)/($C$34-$C$36)*100</f>
        <v>61.640438687075651</v>
      </c>
      <c r="H41" s="3">
        <f t="shared" ref="H41" si="102">(H26-$C$36)/($C$34-$C$36)*100</f>
        <v>62.701683583668064</v>
      </c>
      <c r="I41" s="3">
        <f t="shared" ref="I41" si="103">(I26-$C$36)/($C$34-$C$36)*100</f>
        <v>61.111100970861223</v>
      </c>
      <c r="J41" s="3">
        <f t="shared" ref="J41" si="104">(J26-$C$36)/($C$34-$C$36)*100</f>
        <v>53.454553106890032</v>
      </c>
      <c r="K41" s="3">
        <f t="shared" ref="K41" si="105">(K26-$C$36)/($C$34-$C$36)*100</f>
        <v>52.499984765123578</v>
      </c>
      <c r="L41" s="3">
        <f t="shared" ref="L41" si="106">(L26-$C$36)/($C$34-$C$36)*100</f>
        <v>56.44623200748606</v>
      </c>
      <c r="M41" s="3">
        <f t="shared" ref="M41" si="107">(M26-$C$36)/($C$34-$C$36)*100</f>
        <v>55.211324438145418</v>
      </c>
    </row>
    <row r="42" spans="1:25" ht="15.75" x14ac:dyDescent="0.25">
      <c r="A42" s="2"/>
      <c r="B42" s="3">
        <f t="shared" ref="B42:F42" si="108">(B27-$C$36)/($C$34-$C$36)*100</f>
        <v>18.814770774193214</v>
      </c>
      <c r="C42" s="3">
        <f t="shared" si="108"/>
        <v>17.776019753724562</v>
      </c>
      <c r="D42" s="3">
        <f t="shared" si="108"/>
        <v>18.872159266040601</v>
      </c>
      <c r="E42" s="3">
        <f t="shared" si="108"/>
        <v>18.873313953553367</v>
      </c>
      <c r="F42" s="3">
        <f t="shared" si="108"/>
        <v>41.445804520210928</v>
      </c>
      <c r="G42" s="3">
        <f t="shared" ref="G42" si="109">(G27-$C$36)/($C$34-$C$36)*100</f>
        <v>39.612259354725978</v>
      </c>
      <c r="H42" s="3">
        <f t="shared" ref="H42" si="110">(H27-$C$36)/($C$34-$C$36)*100</f>
        <v>40.927329870057029</v>
      </c>
      <c r="I42" s="3">
        <f t="shared" ref="I42" si="111">(I27-$C$36)/($C$34-$C$36)*100</f>
        <v>39.724712703603117</v>
      </c>
      <c r="J42" s="3">
        <f t="shared" ref="J42" si="112">(J27-$C$36)/($C$34-$C$36)*100</f>
        <v>37.231976208150044</v>
      </c>
      <c r="K42" s="3">
        <f t="shared" ref="K42" si="113">(K27-$C$36)/($C$34-$C$36)*100</f>
        <v>33.151646552146886</v>
      </c>
      <c r="L42" s="3">
        <f t="shared" ref="L42" si="114">(L27-$C$36)/($C$34-$C$36)*100</f>
        <v>34.550198545059409</v>
      </c>
      <c r="M42" s="3">
        <f t="shared" ref="M42" si="115">(M27-$C$36)/($C$34-$C$36)*100</f>
        <v>34.978115260025568</v>
      </c>
    </row>
    <row r="43" spans="1:25" ht="15.75" x14ac:dyDescent="0.25">
      <c r="A43" s="2"/>
      <c r="B43" s="3">
        <f t="shared" ref="B43:F43" si="116">(B28-$C$36)/($C$34-$C$36)*100</f>
        <v>10.094045626021078</v>
      </c>
      <c r="C43" s="3">
        <f t="shared" si="116"/>
        <v>11.120429035091465</v>
      </c>
      <c r="D43" s="3">
        <f t="shared" si="116"/>
        <v>10.367080239409223</v>
      </c>
      <c r="E43" s="3">
        <f t="shared" si="116"/>
        <v>11.369211953415642</v>
      </c>
      <c r="F43" s="3">
        <f t="shared" si="116"/>
        <v>25.220730632010468</v>
      </c>
      <c r="G43" s="3">
        <f t="shared" ref="G43" si="117">(G28-$C$36)/($C$34-$C$36)*100</f>
        <v>24.698759810180363</v>
      </c>
      <c r="H43" s="3">
        <f t="shared" ref="H43" si="118">(H28-$C$36)/($C$34-$C$36)*100</f>
        <v>24.730314251208732</v>
      </c>
      <c r="I43" s="3">
        <f t="shared" ref="I43" si="119">(I28-$C$36)/($C$34-$C$36)*100</f>
        <v>22.941681882375349</v>
      </c>
      <c r="J43" s="3">
        <f t="shared" ref="J43" si="120">(J28-$C$36)/($C$34-$C$36)*100</f>
        <v>19.295081492119859</v>
      </c>
      <c r="K43" s="3">
        <f t="shared" ref="K43" si="121">(K28-$C$36)/($C$34-$C$36)*100</f>
        <v>19.696637121072371</v>
      </c>
      <c r="L43" s="3">
        <f t="shared" ref="L43" si="122">(L28-$C$36)/($C$34-$C$36)*100</f>
        <v>19.338493627537037</v>
      </c>
      <c r="M43" s="3">
        <f t="shared" ref="M43" si="123">(M28-$C$36)/($C$34-$C$36)*100</f>
        <v>19.41167537254664</v>
      </c>
    </row>
    <row r="44" spans="1:25" ht="15.75" x14ac:dyDescent="0.25">
      <c r="A44" s="2"/>
      <c r="B44" s="3">
        <f t="shared" ref="B44:F44" si="124">(B29-$C$36)/($C$34-$C$36)*100</f>
        <v>6.4883974889947282</v>
      </c>
      <c r="C44" s="3">
        <f t="shared" si="124"/>
        <v>6.5434744470181574</v>
      </c>
      <c r="D44" s="3">
        <f t="shared" si="124"/>
        <v>6.753403106164285</v>
      </c>
      <c r="E44" s="3">
        <f t="shared" si="124"/>
        <v>6.1359688302437396</v>
      </c>
      <c r="F44" s="3">
        <f t="shared" si="124"/>
        <v>12.388464294216135</v>
      </c>
      <c r="G44" s="3">
        <f t="shared" ref="G44" si="125">(G29-$C$36)/($C$34-$C$36)*100</f>
        <v>14.470944299926078</v>
      </c>
      <c r="H44" s="3">
        <f t="shared" ref="H44" si="126">(H29-$C$36)/($C$34-$C$36)*100</f>
        <v>13.919056687204801</v>
      </c>
      <c r="I44" s="3">
        <f t="shared" ref="I44" si="127">(I29-$C$36)/($C$34-$C$36)*100</f>
        <v>13.926557215188398</v>
      </c>
      <c r="J44" s="3">
        <f t="shared" ref="J44" si="128">(J29-$C$36)/($C$34-$C$36)*100</f>
        <v>10.518970584049331</v>
      </c>
      <c r="K44" s="3">
        <f t="shared" ref="K44" si="129">(K29-$C$36)/($C$34-$C$36)*100</f>
        <v>9.1594748627201721</v>
      </c>
      <c r="L44" s="3">
        <f t="shared" ref="L44" si="130">(L29-$C$36)/($C$34-$C$36)*100</f>
        <v>9.0021682125152438</v>
      </c>
      <c r="M44" s="3">
        <f t="shared" ref="M44" si="131">(M29-$C$36)/($C$34-$C$36)*100</f>
        <v>10.207076142278137</v>
      </c>
    </row>
    <row r="45" spans="1:25" ht="15.75" x14ac:dyDescent="0.25">
      <c r="A45" s="6"/>
      <c r="B45" s="3">
        <f t="shared" ref="B45:F45" si="132">(B30-$C$36)/($C$34-$C$36)*100</f>
        <v>3.8232073339584014</v>
      </c>
      <c r="C45" s="3">
        <f t="shared" si="132"/>
        <v>3.9111711891909797</v>
      </c>
      <c r="D45" s="3">
        <f t="shared" si="132"/>
        <v>3.7283618643829555</v>
      </c>
      <c r="E45" s="3">
        <f t="shared" si="132"/>
        <v>4.5327467312565455</v>
      </c>
      <c r="F45" s="3">
        <f t="shared" si="132"/>
        <v>6.3278024790309875</v>
      </c>
      <c r="G45" s="3">
        <f t="shared" ref="G45" si="133">(G30-$C$36)/($C$34-$C$36)*100</f>
        <v>7.0259076170592545</v>
      </c>
      <c r="H45" s="3">
        <f t="shared" ref="H45" si="134">(H30-$C$36)/($C$34-$C$36)*100</f>
        <v>7.7291067070605655</v>
      </c>
      <c r="I45" s="3">
        <f t="shared" ref="I45" si="135">(I30-$C$36)/($C$34-$C$36)*100</f>
        <v>7.1555684255319605</v>
      </c>
      <c r="J45" s="3">
        <f t="shared" ref="J45" si="136">(J30-$C$36)/($C$34-$C$36)*100</f>
        <v>5.4263699369975704</v>
      </c>
      <c r="K45" s="3">
        <f t="shared" ref="K45" si="137">(K30-$C$36)/($C$34-$C$36)*100</f>
        <v>5.3598056367739861</v>
      </c>
      <c r="L45" s="3">
        <f t="shared" ref="L45" si="138">(L30-$C$36)/($C$34-$C$36)*100</f>
        <v>5.0324737568399724</v>
      </c>
      <c r="M45" s="3">
        <f t="shared" ref="M45" si="139">(M30-$C$36)/($C$34-$C$36)*100</f>
        <v>5.1354698315803553</v>
      </c>
    </row>
    <row r="46" spans="1:25" ht="16.5" thickBot="1" x14ac:dyDescent="0.3">
      <c r="A46" s="7"/>
      <c r="B46" s="3">
        <f t="shared" ref="B46:F46" si="140">(B31-$C$36)/($C$34-$C$36)*100</f>
        <v>2.6930531717202317</v>
      </c>
      <c r="C46" s="3">
        <f t="shared" si="140"/>
        <v>2.628458318998816</v>
      </c>
      <c r="D46" s="3">
        <f t="shared" si="140"/>
        <v>2.688907346377146</v>
      </c>
      <c r="E46" s="3">
        <f t="shared" si="140"/>
        <v>2.6266061902966182</v>
      </c>
      <c r="F46" s="3">
        <f t="shared" si="140"/>
        <v>3.8141571860705068</v>
      </c>
      <c r="G46" s="3">
        <f t="shared" ref="G46" si="141">(G31-$C$36)/($C$34-$C$36)*100</f>
        <v>5.3446116112359539</v>
      </c>
      <c r="H46" s="3">
        <f t="shared" ref="H46" si="142">(H31-$C$36)/($C$34-$C$36)*100</f>
        <v>4.711094861403752</v>
      </c>
      <c r="I46" s="3">
        <f t="shared" ref="I46" si="143">(I31-$C$36)/($C$34-$C$36)*100</f>
        <v>5.746582483011502</v>
      </c>
      <c r="J46" s="3">
        <f t="shared" ref="J46" si="144">(J31-$C$36)/($C$34-$C$36)*100</f>
        <v>4.0583245305000446</v>
      </c>
      <c r="K46" s="3">
        <f t="shared" ref="K46" si="145">(K31-$C$36)/($C$34-$C$36)*100</f>
        <v>3.8827926346805173</v>
      </c>
      <c r="L46" s="3">
        <f t="shared" ref="L46" si="146">(L31-$C$36)/($C$34-$C$36)*100</f>
        <v>3.5627877318352463</v>
      </c>
      <c r="M46" s="3">
        <f t="shared" ref="M46" si="147">(M31-$C$36)/($C$34-$C$36)*100</f>
        <v>3.2983690011916789</v>
      </c>
    </row>
    <row r="47" spans="1:25" x14ac:dyDescent="0.25">
      <c r="A47" s="1"/>
      <c r="B47" s="3">
        <f t="shared" ref="B47:F47" si="148">(B32-$C$36)/($C$34-$C$36)*100</f>
        <v>0.10904284035294148</v>
      </c>
      <c r="C47" s="3">
        <f t="shared" si="148"/>
        <v>-9.0264260127132262E-2</v>
      </c>
      <c r="D47" s="3">
        <f t="shared" si="148"/>
        <v>5.2255410879246747E-2</v>
      </c>
      <c r="E47" s="3">
        <f t="shared" si="148"/>
        <v>-7.1033991105052569E-2</v>
      </c>
      <c r="F47" s="3">
        <f t="shared" si="148"/>
        <v>98.285729175258098</v>
      </c>
      <c r="G47" s="3">
        <f t="shared" ref="G47" si="149">(G32-$C$36)/($C$34-$C$36)*100</f>
        <v>100.2002030068514</v>
      </c>
      <c r="H47" s="3">
        <f t="shared" ref="H47" si="150">(H32-$C$36)/($C$34-$C$36)*100</f>
        <v>99.737481494733487</v>
      </c>
      <c r="I47" s="3">
        <f t="shared" ref="I47" si="151">(I32-$C$36)/($C$34-$C$36)*100</f>
        <v>101.05871527883417</v>
      </c>
      <c r="J47" s="3">
        <f t="shared" ref="J47" si="152">(J32-$C$36)/($C$34-$C$36)*100</f>
        <v>99.489889152969241</v>
      </c>
      <c r="K47" s="3">
        <f t="shared" ref="K47" si="153">(K32-$C$36)/($C$34-$C$36)*100</f>
        <v>100.29569261046416</v>
      </c>
      <c r="L47" s="3">
        <f t="shared" ref="L47" si="154">(L32-$C$36)/($C$34-$C$36)*100</f>
        <v>100.16742056714068</v>
      </c>
      <c r="M47" s="3">
        <f t="shared" ref="M47" si="155">(M32-$C$36)/($C$34-$C$36)*100</f>
        <v>100.7648687137489</v>
      </c>
    </row>
  </sheetData>
  <mergeCells count="6">
    <mergeCell ref="B11:E11"/>
    <mergeCell ref="F11:I11"/>
    <mergeCell ref="J11:M11"/>
    <mergeCell ref="B2:E2"/>
    <mergeCell ref="F2:I2"/>
    <mergeCell ref="J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19DA-B310-443A-BD33-2FD257226160}">
  <dimension ref="A1:CS47"/>
  <sheetViews>
    <sheetView tabSelected="1" topLeftCell="A27" zoomScale="85" zoomScaleNormal="85" workbookViewId="0">
      <selection activeCell="U32" sqref="U32:U38"/>
    </sheetView>
  </sheetViews>
  <sheetFormatPr defaultRowHeight="15" x14ac:dyDescent="0.25"/>
  <sheetData>
    <row r="1" spans="1:14" ht="15.75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4" ht="15.75" thickBot="1" x14ac:dyDescent="0.3">
      <c r="B3" s="31">
        <v>72</v>
      </c>
      <c r="C3" s="31"/>
      <c r="D3" s="31"/>
      <c r="E3" s="31"/>
      <c r="F3" s="31">
        <v>73</v>
      </c>
      <c r="G3" s="31"/>
      <c r="H3" s="31"/>
      <c r="I3" s="31"/>
      <c r="J3" s="31" t="s">
        <v>106</v>
      </c>
      <c r="K3" s="31"/>
      <c r="L3" s="31"/>
      <c r="M3" s="31"/>
    </row>
    <row r="4" spans="1:14" ht="15.75" x14ac:dyDescent="0.25">
      <c r="B4" s="10">
        <v>1</v>
      </c>
      <c r="C4" s="11">
        <v>2</v>
      </c>
      <c r="D4" s="11">
        <v>3</v>
      </c>
      <c r="E4" s="11">
        <v>4</v>
      </c>
      <c r="F4" s="11">
        <v>5</v>
      </c>
      <c r="G4" s="11">
        <v>6</v>
      </c>
      <c r="H4" s="11">
        <v>7</v>
      </c>
      <c r="I4" s="11">
        <v>8</v>
      </c>
      <c r="J4" s="11">
        <v>9</v>
      </c>
      <c r="K4" s="11">
        <v>10</v>
      </c>
      <c r="L4" s="11">
        <v>11</v>
      </c>
      <c r="M4" s="12">
        <v>12</v>
      </c>
    </row>
    <row r="5" spans="1:14" ht="15.75" x14ac:dyDescent="0.25">
      <c r="B5" s="13">
        <v>30</v>
      </c>
      <c r="C5" s="14"/>
      <c r="D5" s="14"/>
      <c r="E5" s="14"/>
      <c r="F5" s="16">
        <v>10</v>
      </c>
      <c r="G5" s="16"/>
      <c r="H5" s="16"/>
      <c r="I5" s="16"/>
      <c r="J5" s="18">
        <v>15</v>
      </c>
      <c r="K5" s="18"/>
      <c r="L5" s="18"/>
      <c r="M5" s="18"/>
    </row>
    <row r="6" spans="1:14" ht="15.75" x14ac:dyDescent="0.25">
      <c r="A6" s="21"/>
      <c r="B6" s="13">
        <f>B5*2/3</f>
        <v>20</v>
      </c>
      <c r="C6" s="14"/>
      <c r="D6" s="14"/>
      <c r="E6" s="14"/>
      <c r="F6" s="16">
        <f>F5/2</f>
        <v>5</v>
      </c>
      <c r="G6" s="16"/>
      <c r="H6" s="16"/>
      <c r="I6" s="16"/>
      <c r="J6" s="18">
        <f>J5/2</f>
        <v>7.5</v>
      </c>
      <c r="K6" s="18"/>
      <c r="L6" s="18"/>
      <c r="M6" s="18"/>
    </row>
    <row r="7" spans="1:14" ht="15.75" x14ac:dyDescent="0.25">
      <c r="A7" s="21"/>
      <c r="B7" s="13">
        <f t="shared" ref="B7:B11" si="0">B6*2/3</f>
        <v>13.333333333333334</v>
      </c>
      <c r="C7" s="14"/>
      <c r="D7" s="14"/>
      <c r="E7" s="14"/>
      <c r="F7" s="16">
        <f t="shared" ref="F7:F11" si="1">F6/2</f>
        <v>2.5</v>
      </c>
      <c r="G7" s="16"/>
      <c r="H7" s="16"/>
      <c r="I7" s="16"/>
      <c r="J7" s="18">
        <f t="shared" ref="J7:J11" si="2">J6/2</f>
        <v>3.75</v>
      </c>
      <c r="K7" s="18"/>
      <c r="L7" s="18"/>
      <c r="M7" s="18"/>
    </row>
    <row r="8" spans="1:14" ht="15.75" x14ac:dyDescent="0.25">
      <c r="A8" s="21"/>
      <c r="B8" s="13">
        <f t="shared" si="0"/>
        <v>8.8888888888888893</v>
      </c>
      <c r="C8" s="14"/>
      <c r="D8" s="14"/>
      <c r="E8" s="14"/>
      <c r="F8" s="16">
        <f t="shared" si="1"/>
        <v>1.25</v>
      </c>
      <c r="G8" s="16"/>
      <c r="H8" s="16"/>
      <c r="I8" s="16"/>
      <c r="J8" s="18">
        <f t="shared" si="2"/>
        <v>1.875</v>
      </c>
      <c r="K8" s="18"/>
      <c r="L8" s="18"/>
      <c r="M8" s="18"/>
    </row>
    <row r="9" spans="1:14" ht="15.75" x14ac:dyDescent="0.25">
      <c r="A9" s="21"/>
      <c r="B9" s="13">
        <f t="shared" si="0"/>
        <v>5.9259259259259265</v>
      </c>
      <c r="C9" s="14"/>
      <c r="D9" s="14"/>
      <c r="E9" s="14"/>
      <c r="F9" s="16">
        <f t="shared" si="1"/>
        <v>0.625</v>
      </c>
      <c r="G9" s="16"/>
      <c r="H9" s="16"/>
      <c r="I9" s="16"/>
      <c r="J9" s="18">
        <f t="shared" si="2"/>
        <v>0.9375</v>
      </c>
      <c r="K9" s="18"/>
      <c r="L9" s="18"/>
      <c r="M9" s="18"/>
    </row>
    <row r="10" spans="1:14" ht="15.75" x14ac:dyDescent="0.25">
      <c r="A10" s="21"/>
      <c r="B10" s="13">
        <f t="shared" si="0"/>
        <v>3.9506172839506175</v>
      </c>
      <c r="C10" s="14"/>
      <c r="D10" s="14"/>
      <c r="E10" s="14"/>
      <c r="F10" s="16">
        <f t="shared" si="1"/>
        <v>0.3125</v>
      </c>
      <c r="G10" s="16"/>
      <c r="H10" s="16"/>
      <c r="I10" s="16"/>
      <c r="J10" s="18">
        <f t="shared" si="2"/>
        <v>0.46875</v>
      </c>
      <c r="K10" s="18"/>
      <c r="L10" s="18"/>
      <c r="M10" s="18"/>
    </row>
    <row r="11" spans="1:14" ht="15.75" x14ac:dyDescent="0.25">
      <c r="A11" s="22"/>
      <c r="B11" s="13">
        <f t="shared" si="0"/>
        <v>2.6337448559670782</v>
      </c>
      <c r="C11" s="14"/>
      <c r="D11" s="14"/>
      <c r="E11" s="14"/>
      <c r="F11" s="16">
        <f t="shared" si="1"/>
        <v>0.15625</v>
      </c>
      <c r="G11" s="16"/>
      <c r="H11" s="16"/>
      <c r="I11" s="16"/>
      <c r="J11" s="18">
        <f t="shared" si="2"/>
        <v>0.234375</v>
      </c>
      <c r="K11" s="18"/>
      <c r="L11" s="18"/>
      <c r="M11" s="18"/>
    </row>
    <row r="12" spans="1:14" ht="16.5" thickBot="1" x14ac:dyDescent="0.3">
      <c r="A12" s="21"/>
      <c r="B12" s="30" t="s">
        <v>104</v>
      </c>
      <c r="C12" s="31"/>
      <c r="D12" s="31"/>
      <c r="E12" s="31"/>
      <c r="F12" s="31" t="s">
        <v>98</v>
      </c>
      <c r="G12" s="31"/>
      <c r="H12" s="31"/>
      <c r="I12" s="31"/>
      <c r="J12" s="31" t="s">
        <v>105</v>
      </c>
      <c r="K12" s="31"/>
      <c r="L12" s="31"/>
      <c r="M12" s="32"/>
    </row>
    <row r="18" spans="1:97" x14ac:dyDescent="0.25">
      <c r="A18" s="23" t="s">
        <v>0</v>
      </c>
      <c r="B18" s="23" t="s">
        <v>1</v>
      </c>
      <c r="C18" s="23" t="s">
        <v>2</v>
      </c>
      <c r="D18" s="23" t="s">
        <v>3</v>
      </c>
      <c r="E18" s="23" t="s">
        <v>4</v>
      </c>
      <c r="F18" s="23" t="s">
        <v>5</v>
      </c>
      <c r="G18" s="23" t="s">
        <v>6</v>
      </c>
      <c r="H18" s="23" t="s">
        <v>7</v>
      </c>
      <c r="I18" s="23" t="s">
        <v>8</v>
      </c>
      <c r="J18" s="23" t="s">
        <v>9</v>
      </c>
      <c r="K18" s="23" t="s">
        <v>10</v>
      </c>
      <c r="L18" s="23" t="s">
        <v>11</v>
      </c>
      <c r="M18" s="23" t="s">
        <v>12</v>
      </c>
      <c r="N18" s="23" t="s">
        <v>13</v>
      </c>
      <c r="O18" s="23" t="s">
        <v>14</v>
      </c>
      <c r="P18" s="23" t="s">
        <v>15</v>
      </c>
      <c r="Q18" s="23" t="s">
        <v>16</v>
      </c>
      <c r="R18" s="23" t="s">
        <v>17</v>
      </c>
      <c r="S18" s="23" t="s">
        <v>18</v>
      </c>
      <c r="T18" s="23" t="s">
        <v>19</v>
      </c>
      <c r="U18" s="23" t="s">
        <v>20</v>
      </c>
      <c r="V18" s="23" t="s">
        <v>21</v>
      </c>
      <c r="W18" s="23" t="s">
        <v>22</v>
      </c>
      <c r="X18" s="23" t="s">
        <v>23</v>
      </c>
      <c r="Y18" s="23" t="s">
        <v>24</v>
      </c>
      <c r="Z18" s="23" t="s">
        <v>25</v>
      </c>
      <c r="AA18" s="23" t="s">
        <v>26</v>
      </c>
      <c r="AB18" s="23" t="s">
        <v>27</v>
      </c>
      <c r="AC18" s="23" t="s">
        <v>28</v>
      </c>
      <c r="AD18" s="23" t="s">
        <v>29</v>
      </c>
      <c r="AE18" s="23" t="s">
        <v>30</v>
      </c>
      <c r="AF18" s="23" t="s">
        <v>31</v>
      </c>
      <c r="AG18" s="23" t="s">
        <v>32</v>
      </c>
      <c r="AH18" s="23" t="s">
        <v>33</v>
      </c>
      <c r="AI18" s="23" t="s">
        <v>34</v>
      </c>
      <c r="AJ18" s="23" t="s">
        <v>35</v>
      </c>
      <c r="AK18" s="23" t="s">
        <v>36</v>
      </c>
      <c r="AL18" s="23" t="s">
        <v>37</v>
      </c>
      <c r="AM18" s="23" t="s">
        <v>38</v>
      </c>
      <c r="AN18" s="23" t="s">
        <v>39</v>
      </c>
      <c r="AO18" s="23" t="s">
        <v>40</v>
      </c>
      <c r="AP18" s="23" t="s">
        <v>41</v>
      </c>
      <c r="AQ18" s="23" t="s">
        <v>42</v>
      </c>
      <c r="AR18" s="23" t="s">
        <v>43</v>
      </c>
      <c r="AS18" s="23" t="s">
        <v>44</v>
      </c>
      <c r="AT18" s="23" t="s">
        <v>45</v>
      </c>
      <c r="AU18" s="23" t="s">
        <v>46</v>
      </c>
      <c r="AV18" s="23" t="s">
        <v>47</v>
      </c>
      <c r="AW18" s="23" t="s">
        <v>48</v>
      </c>
      <c r="AX18" s="23" t="s">
        <v>49</v>
      </c>
      <c r="AY18" s="23" t="s">
        <v>50</v>
      </c>
      <c r="AZ18" s="23" t="s">
        <v>51</v>
      </c>
      <c r="BA18" s="23" t="s">
        <v>52</v>
      </c>
      <c r="BB18" s="23" t="s">
        <v>53</v>
      </c>
      <c r="BC18" s="23" t="s">
        <v>54</v>
      </c>
      <c r="BD18" s="23" t="s">
        <v>55</v>
      </c>
      <c r="BE18" s="23" t="s">
        <v>56</v>
      </c>
      <c r="BF18" s="23" t="s">
        <v>57</v>
      </c>
      <c r="BG18" s="23" t="s">
        <v>58</v>
      </c>
      <c r="BH18" s="23" t="s">
        <v>59</v>
      </c>
      <c r="BI18" s="23" t="s">
        <v>60</v>
      </c>
      <c r="BJ18" s="23" t="s">
        <v>61</v>
      </c>
      <c r="BK18" s="23" t="s">
        <v>62</v>
      </c>
      <c r="BL18" s="23" t="s">
        <v>63</v>
      </c>
      <c r="BM18" s="23" t="s">
        <v>64</v>
      </c>
      <c r="BN18" s="23" t="s">
        <v>65</v>
      </c>
      <c r="BO18" s="23" t="s">
        <v>66</v>
      </c>
      <c r="BP18" s="23" t="s">
        <v>67</v>
      </c>
      <c r="BQ18" s="23" t="s">
        <v>68</v>
      </c>
      <c r="BR18" s="23" t="s">
        <v>69</v>
      </c>
      <c r="BS18" s="23" t="s">
        <v>70</v>
      </c>
      <c r="BT18" s="23" t="s">
        <v>71</v>
      </c>
      <c r="BU18" s="23" t="s">
        <v>72</v>
      </c>
      <c r="BV18" s="23" t="s">
        <v>73</v>
      </c>
      <c r="BW18" s="23" t="s">
        <v>74</v>
      </c>
      <c r="BX18" s="23" t="s">
        <v>75</v>
      </c>
      <c r="BY18" s="23" t="s">
        <v>76</v>
      </c>
      <c r="BZ18" s="23" t="s">
        <v>77</v>
      </c>
      <c r="CA18" s="23" t="s">
        <v>78</v>
      </c>
      <c r="CB18" s="23" t="s">
        <v>79</v>
      </c>
      <c r="CC18" s="23" t="s">
        <v>80</v>
      </c>
      <c r="CD18" s="23" t="s">
        <v>81</v>
      </c>
      <c r="CE18" s="23" t="s">
        <v>82</v>
      </c>
      <c r="CF18" s="23" t="s">
        <v>83</v>
      </c>
      <c r="CG18" s="23" t="s">
        <v>84</v>
      </c>
      <c r="CH18" s="23" t="s">
        <v>85</v>
      </c>
      <c r="CI18" s="23" t="s">
        <v>86</v>
      </c>
      <c r="CJ18" s="23" t="s">
        <v>87</v>
      </c>
      <c r="CK18" s="23" t="s">
        <v>88</v>
      </c>
      <c r="CL18" s="23" t="s">
        <v>89</v>
      </c>
      <c r="CM18" s="23" t="s">
        <v>90</v>
      </c>
      <c r="CN18" s="23" t="s">
        <v>91</v>
      </c>
      <c r="CO18" s="23" t="s">
        <v>92</v>
      </c>
      <c r="CP18" s="23" t="s">
        <v>93</v>
      </c>
      <c r="CQ18" s="23" t="s">
        <v>94</v>
      </c>
      <c r="CR18" s="23" t="s">
        <v>95</v>
      </c>
      <c r="CS18" s="23" t="s">
        <v>96</v>
      </c>
    </row>
    <row r="19" spans="1:97" x14ac:dyDescent="0.25">
      <c r="A19" s="23">
        <v>403</v>
      </c>
      <c r="B19" s="24">
        <v>129203</v>
      </c>
      <c r="C19" s="24">
        <v>125815</v>
      </c>
      <c r="D19" s="24">
        <v>130679</v>
      </c>
      <c r="E19" s="24">
        <v>129214</v>
      </c>
      <c r="F19" s="24">
        <v>156315</v>
      </c>
      <c r="G19" s="24">
        <v>147884</v>
      </c>
      <c r="H19" s="24">
        <v>146263</v>
      </c>
      <c r="I19" s="24">
        <v>151045</v>
      </c>
      <c r="J19" s="24">
        <v>127882</v>
      </c>
      <c r="K19" s="24">
        <v>143637</v>
      </c>
      <c r="L19" s="24">
        <v>129324</v>
      </c>
      <c r="M19" s="24">
        <v>134964</v>
      </c>
      <c r="N19" s="24">
        <v>150989</v>
      </c>
      <c r="O19" s="24">
        <v>146981</v>
      </c>
      <c r="P19" s="24">
        <v>122977</v>
      </c>
      <c r="Q19" s="24">
        <v>136433</v>
      </c>
      <c r="R19" s="24">
        <v>161127</v>
      </c>
      <c r="S19" s="24">
        <v>181927</v>
      </c>
      <c r="T19" s="24">
        <v>176897</v>
      </c>
      <c r="U19" s="24">
        <v>153425</v>
      </c>
      <c r="V19" s="24">
        <v>140043</v>
      </c>
      <c r="W19" s="24">
        <v>141881</v>
      </c>
      <c r="X19" s="24">
        <v>137338</v>
      </c>
      <c r="Y19" s="24">
        <v>146657</v>
      </c>
      <c r="Z19" s="24">
        <v>174782</v>
      </c>
      <c r="AA19" s="24">
        <v>173197</v>
      </c>
      <c r="AB19" s="24">
        <v>163889</v>
      </c>
      <c r="AC19" s="24">
        <v>160328</v>
      </c>
      <c r="AD19" s="24">
        <v>190585</v>
      </c>
      <c r="AE19" s="24">
        <v>219033</v>
      </c>
      <c r="AF19" s="24">
        <v>193579</v>
      </c>
      <c r="AG19" s="24">
        <v>164817</v>
      </c>
      <c r="AH19" s="24">
        <v>143627</v>
      </c>
      <c r="AI19" s="24">
        <v>153404</v>
      </c>
      <c r="AJ19" s="24">
        <v>159464</v>
      </c>
      <c r="AK19" s="24">
        <v>158731</v>
      </c>
      <c r="AL19" s="24">
        <v>198914</v>
      </c>
      <c r="AM19" s="24">
        <v>199685</v>
      </c>
      <c r="AN19" s="24">
        <v>193520</v>
      </c>
      <c r="AO19" s="24">
        <v>183332</v>
      </c>
      <c r="AP19" s="24">
        <v>200992</v>
      </c>
      <c r="AQ19" s="24">
        <v>214867</v>
      </c>
      <c r="AR19" s="24">
        <v>218728</v>
      </c>
      <c r="AS19" s="24">
        <v>211246</v>
      </c>
      <c r="AT19" s="24">
        <v>163935</v>
      </c>
      <c r="AU19" s="24">
        <v>162497</v>
      </c>
      <c r="AV19" s="24">
        <v>168285</v>
      </c>
      <c r="AW19" s="24">
        <v>168936</v>
      </c>
      <c r="AX19" s="24">
        <v>211294</v>
      </c>
      <c r="AY19" s="24">
        <v>218273</v>
      </c>
      <c r="AZ19" s="24">
        <v>219029</v>
      </c>
      <c r="BA19" s="24">
        <v>209440</v>
      </c>
      <c r="BB19" s="24">
        <v>219289</v>
      </c>
      <c r="BC19" s="24">
        <v>217847</v>
      </c>
      <c r="BD19" s="24">
        <v>219879</v>
      </c>
      <c r="BE19" s="24">
        <v>213029</v>
      </c>
      <c r="BF19" s="24">
        <v>175229</v>
      </c>
      <c r="BG19" s="24">
        <v>176810</v>
      </c>
      <c r="BH19" s="24">
        <v>185692</v>
      </c>
      <c r="BI19" s="24">
        <v>177131</v>
      </c>
      <c r="BJ19" s="24">
        <v>194433</v>
      </c>
      <c r="BK19" s="24">
        <v>225797</v>
      </c>
      <c r="BL19" s="24">
        <v>229664</v>
      </c>
      <c r="BM19" s="24">
        <v>222495</v>
      </c>
      <c r="BN19" s="24">
        <v>229341</v>
      </c>
      <c r="BO19" s="24">
        <v>230595</v>
      </c>
      <c r="BP19" s="24">
        <v>231122</v>
      </c>
      <c r="BQ19" s="24">
        <v>230505</v>
      </c>
      <c r="BR19" s="24">
        <v>201097</v>
      </c>
      <c r="BS19" s="24">
        <v>214503</v>
      </c>
      <c r="BT19" s="24">
        <v>209786</v>
      </c>
      <c r="BU19" s="24">
        <v>204176</v>
      </c>
      <c r="BV19" s="24">
        <v>230939</v>
      </c>
      <c r="BW19" s="24">
        <v>235612</v>
      </c>
      <c r="BX19" s="24">
        <v>233356</v>
      </c>
      <c r="BY19" s="24">
        <v>231508</v>
      </c>
      <c r="BZ19" s="24">
        <v>236806</v>
      </c>
      <c r="CA19" s="24">
        <v>237235</v>
      </c>
      <c r="CB19" s="24">
        <v>236848</v>
      </c>
      <c r="CC19" s="24">
        <v>238068</v>
      </c>
      <c r="CD19" s="24">
        <v>221901</v>
      </c>
      <c r="CE19" s="24">
        <v>230164</v>
      </c>
      <c r="CF19" s="24">
        <v>224363</v>
      </c>
      <c r="CG19" s="24">
        <v>226363</v>
      </c>
      <c r="CH19" s="24">
        <v>244608</v>
      </c>
      <c r="CI19" s="24">
        <v>243973</v>
      </c>
      <c r="CJ19" s="24">
        <v>249592</v>
      </c>
      <c r="CK19" s="24">
        <v>234823</v>
      </c>
      <c r="CL19" s="24">
        <v>110711</v>
      </c>
      <c r="CM19" s="24">
        <v>103438</v>
      </c>
      <c r="CN19" s="24">
        <v>106944</v>
      </c>
      <c r="CO19" s="24">
        <v>106792</v>
      </c>
      <c r="CP19" s="24">
        <v>87688</v>
      </c>
      <c r="CQ19" s="24">
        <v>89042</v>
      </c>
      <c r="CR19" s="24">
        <v>90234</v>
      </c>
      <c r="CS19" s="24">
        <v>91284</v>
      </c>
    </row>
    <row r="20" spans="1:97" x14ac:dyDescent="0.25">
      <c r="A20" s="23">
        <v>460</v>
      </c>
      <c r="B20" s="24">
        <v>380630</v>
      </c>
      <c r="C20" s="24">
        <v>366480</v>
      </c>
      <c r="D20" s="24">
        <v>376417</v>
      </c>
      <c r="E20" s="24">
        <v>358068</v>
      </c>
      <c r="F20" s="24">
        <v>317195</v>
      </c>
      <c r="G20" s="24">
        <v>298040</v>
      </c>
      <c r="H20" s="24">
        <v>315660</v>
      </c>
      <c r="I20" s="24">
        <v>342098</v>
      </c>
      <c r="J20" s="24">
        <v>354304</v>
      </c>
      <c r="K20" s="24">
        <v>365374</v>
      </c>
      <c r="L20" s="24">
        <v>355388</v>
      </c>
      <c r="M20" s="24">
        <v>376151</v>
      </c>
      <c r="N20" s="24">
        <v>324787</v>
      </c>
      <c r="O20" s="24">
        <v>341506</v>
      </c>
      <c r="P20" s="24">
        <v>293993</v>
      </c>
      <c r="Q20" s="24">
        <v>317746</v>
      </c>
      <c r="R20" s="24">
        <v>281653</v>
      </c>
      <c r="S20" s="24">
        <v>354443</v>
      </c>
      <c r="T20" s="24">
        <v>338970</v>
      </c>
      <c r="U20" s="24">
        <v>302582</v>
      </c>
      <c r="V20" s="24">
        <v>342520</v>
      </c>
      <c r="W20" s="24">
        <v>341796</v>
      </c>
      <c r="X20" s="24">
        <v>334305</v>
      </c>
      <c r="Y20" s="24">
        <v>355847</v>
      </c>
      <c r="Z20" s="24">
        <v>275282</v>
      </c>
      <c r="AA20" s="24">
        <v>288084</v>
      </c>
      <c r="AB20" s="24">
        <v>293851</v>
      </c>
      <c r="AC20" s="24">
        <v>278497</v>
      </c>
      <c r="AD20" s="24">
        <v>328532</v>
      </c>
      <c r="AE20" s="24">
        <v>377576</v>
      </c>
      <c r="AF20" s="24">
        <v>337520</v>
      </c>
      <c r="AG20" s="24">
        <v>306665</v>
      </c>
      <c r="AH20" s="24">
        <v>318243</v>
      </c>
      <c r="AI20" s="24">
        <v>319985</v>
      </c>
      <c r="AJ20" s="24">
        <v>330538</v>
      </c>
      <c r="AK20" s="24">
        <v>327289</v>
      </c>
      <c r="AL20" s="24">
        <v>240587</v>
      </c>
      <c r="AM20" s="24">
        <v>249812</v>
      </c>
      <c r="AN20" s="24">
        <v>244423</v>
      </c>
      <c r="AO20" s="24">
        <v>237942</v>
      </c>
      <c r="AP20" s="24">
        <v>231263</v>
      </c>
      <c r="AQ20" s="24">
        <v>254610</v>
      </c>
      <c r="AR20" s="24">
        <v>262327</v>
      </c>
      <c r="AS20" s="24">
        <v>257977</v>
      </c>
      <c r="AT20" s="24">
        <v>288438</v>
      </c>
      <c r="AU20" s="24">
        <v>300563</v>
      </c>
      <c r="AV20" s="24">
        <v>308715</v>
      </c>
      <c r="AW20" s="24">
        <v>312113</v>
      </c>
      <c r="AX20" s="24">
        <v>199185</v>
      </c>
      <c r="AY20" s="24">
        <v>211269</v>
      </c>
      <c r="AZ20" s="24">
        <v>222376</v>
      </c>
      <c r="BA20" s="24">
        <v>223104</v>
      </c>
      <c r="BB20" s="24">
        <v>193227</v>
      </c>
      <c r="BC20" s="24">
        <v>194034</v>
      </c>
      <c r="BD20" s="24">
        <v>197553</v>
      </c>
      <c r="BE20" s="24">
        <v>196301</v>
      </c>
      <c r="BF20" s="24">
        <v>293475</v>
      </c>
      <c r="BG20" s="24">
        <v>299242</v>
      </c>
      <c r="BH20" s="24">
        <v>299569</v>
      </c>
      <c r="BI20" s="24">
        <v>297840</v>
      </c>
      <c r="BJ20" s="24">
        <v>152681</v>
      </c>
      <c r="BK20" s="24">
        <v>188513</v>
      </c>
      <c r="BL20" s="24">
        <v>191826</v>
      </c>
      <c r="BM20" s="24">
        <v>188283</v>
      </c>
      <c r="BN20" s="24">
        <v>176737</v>
      </c>
      <c r="BO20" s="24">
        <v>180720</v>
      </c>
      <c r="BP20" s="24">
        <v>178470</v>
      </c>
      <c r="BQ20" s="24">
        <v>176530</v>
      </c>
      <c r="BR20" s="24">
        <v>232360</v>
      </c>
      <c r="BS20" s="24">
        <v>232811</v>
      </c>
      <c r="BT20" s="24">
        <v>234936</v>
      </c>
      <c r="BU20" s="24">
        <v>233096</v>
      </c>
      <c r="BV20" s="24">
        <v>174309</v>
      </c>
      <c r="BW20" s="24">
        <v>180076</v>
      </c>
      <c r="BX20" s="24">
        <v>182078</v>
      </c>
      <c r="BY20" s="24">
        <v>179038</v>
      </c>
      <c r="BZ20" s="24">
        <v>168736</v>
      </c>
      <c r="CA20" s="24">
        <v>169026</v>
      </c>
      <c r="CB20" s="24">
        <v>171049</v>
      </c>
      <c r="CC20" s="24">
        <v>169051</v>
      </c>
      <c r="CD20" s="24">
        <v>192200</v>
      </c>
      <c r="CE20" s="24">
        <v>192657</v>
      </c>
      <c r="CF20" s="24">
        <v>194239</v>
      </c>
      <c r="CG20" s="24">
        <v>193326</v>
      </c>
      <c r="CH20" s="24">
        <v>153114</v>
      </c>
      <c r="CI20" s="24">
        <v>157009</v>
      </c>
      <c r="CJ20" s="24">
        <v>157285</v>
      </c>
      <c r="CK20" s="24">
        <v>151965</v>
      </c>
      <c r="CL20" s="24">
        <v>424840</v>
      </c>
      <c r="CM20" s="24">
        <v>396926</v>
      </c>
      <c r="CN20" s="24">
        <v>407698</v>
      </c>
      <c r="CO20" s="24">
        <v>411232</v>
      </c>
      <c r="CP20" s="24">
        <v>347886</v>
      </c>
      <c r="CQ20" s="24">
        <v>347182</v>
      </c>
      <c r="CR20" s="24">
        <v>353717</v>
      </c>
      <c r="CS20" s="24">
        <v>358767</v>
      </c>
    </row>
    <row r="21" spans="1:97" x14ac:dyDescent="0.25">
      <c r="A21" t="s">
        <v>97</v>
      </c>
      <c r="B21">
        <f>B20/B19</f>
        <v>2.9459842263724525</v>
      </c>
      <c r="C21">
        <f t="shared" ref="C21:AB21" si="3">C20/C19</f>
        <v>2.9128482295433771</v>
      </c>
      <c r="D21">
        <f t="shared" si="3"/>
        <v>2.8804704657978712</v>
      </c>
      <c r="E21">
        <f t="shared" si="3"/>
        <v>2.771123872026251</v>
      </c>
      <c r="F21">
        <f t="shared" si="3"/>
        <v>2.0292038511979018</v>
      </c>
      <c r="G21">
        <f t="shared" si="3"/>
        <v>2.0153633929295935</v>
      </c>
      <c r="H21">
        <f t="shared" si="3"/>
        <v>2.1581671372801052</v>
      </c>
      <c r="I21">
        <f t="shared" si="3"/>
        <v>2.2648747062133801</v>
      </c>
      <c r="J21">
        <f t="shared" si="3"/>
        <v>2.7705541045651461</v>
      </c>
      <c r="K21">
        <f t="shared" si="3"/>
        <v>2.543731768276976</v>
      </c>
      <c r="L21">
        <f t="shared" si="3"/>
        <v>2.7480436732547711</v>
      </c>
      <c r="M21">
        <f t="shared" si="3"/>
        <v>2.7870469162146945</v>
      </c>
      <c r="N21">
        <f t="shared" si="3"/>
        <v>2.1510639847935944</v>
      </c>
      <c r="O21">
        <f t="shared" si="3"/>
        <v>2.3234703805253742</v>
      </c>
      <c r="P21">
        <f t="shared" si="3"/>
        <v>2.3906340209957961</v>
      </c>
      <c r="Q21">
        <f t="shared" si="3"/>
        <v>2.3289526727404661</v>
      </c>
      <c r="R21">
        <f t="shared" si="3"/>
        <v>1.7480186436785889</v>
      </c>
      <c r="S21">
        <f t="shared" si="3"/>
        <v>1.9482704601296124</v>
      </c>
      <c r="T21">
        <f t="shared" si="3"/>
        <v>1.9161998224955765</v>
      </c>
      <c r="U21">
        <f t="shared" si="3"/>
        <v>1.9721818478083755</v>
      </c>
      <c r="V21">
        <f t="shared" si="3"/>
        <v>2.4458202123633455</v>
      </c>
      <c r="W21">
        <f t="shared" si="3"/>
        <v>2.4090329219557236</v>
      </c>
      <c r="X21">
        <f t="shared" si="3"/>
        <v>2.4341769939856412</v>
      </c>
      <c r="Y21">
        <f t="shared" si="3"/>
        <v>2.4263894665784789</v>
      </c>
      <c r="Z21">
        <f t="shared" si="3"/>
        <v>1.5750020024945361</v>
      </c>
      <c r="AA21">
        <f t="shared" si="3"/>
        <v>1.663331351004925</v>
      </c>
      <c r="AB21">
        <f t="shared" si="3"/>
        <v>1.7929879369573309</v>
      </c>
      <c r="AC21">
        <f>AC20/AC19</f>
        <v>1.7370453071204033</v>
      </c>
      <c r="AD21">
        <f t="shared" ref="AD21:AN21" si="4">AD20/AD19</f>
        <v>1.7238082745231786</v>
      </c>
      <c r="AE21">
        <f t="shared" si="4"/>
        <v>1.7238315687590455</v>
      </c>
      <c r="AF21">
        <f t="shared" si="4"/>
        <v>1.7435775574829915</v>
      </c>
      <c r="AG21">
        <f t="shared" si="4"/>
        <v>1.8606393757925457</v>
      </c>
      <c r="AH21">
        <f t="shared" si="4"/>
        <v>2.2157602679161994</v>
      </c>
      <c r="AI21">
        <f t="shared" si="4"/>
        <v>2.0858973690386171</v>
      </c>
      <c r="AJ21">
        <f t="shared" si="4"/>
        <v>2.0728064014448404</v>
      </c>
      <c r="AK21">
        <f t="shared" si="4"/>
        <v>2.0619097718782089</v>
      </c>
      <c r="AL21">
        <f t="shared" si="4"/>
        <v>1.2095025991131847</v>
      </c>
      <c r="AM21">
        <f t="shared" si="4"/>
        <v>1.2510303728372185</v>
      </c>
      <c r="AN21">
        <f t="shared" si="4"/>
        <v>1.2630374121537826</v>
      </c>
      <c r="AO21">
        <f>AO20/AO19</f>
        <v>1.2978748936355902</v>
      </c>
      <c r="AP21">
        <f t="shared" ref="AP21:BG21" si="5">AP20/AP19</f>
        <v>1.1506079843973889</v>
      </c>
      <c r="AQ21">
        <f t="shared" si="5"/>
        <v>1.1849655833608697</v>
      </c>
      <c r="AR21">
        <f t="shared" si="5"/>
        <v>1.1993297611645515</v>
      </c>
      <c r="AS21">
        <f t="shared" si="5"/>
        <v>1.221216023025288</v>
      </c>
      <c r="AT21">
        <f t="shared" si="5"/>
        <v>1.7594656418702534</v>
      </c>
      <c r="AU21">
        <f t="shared" si="5"/>
        <v>1.8496526089712426</v>
      </c>
      <c r="AV21">
        <f t="shared" si="5"/>
        <v>1.8344772261342366</v>
      </c>
      <c r="AW21">
        <f t="shared" si="5"/>
        <v>1.8475221385613487</v>
      </c>
      <c r="AX21">
        <f t="shared" si="5"/>
        <v>0.94269122644277636</v>
      </c>
      <c r="AY21">
        <f t="shared" si="5"/>
        <v>0.9679117435505078</v>
      </c>
      <c r="AZ21">
        <f t="shared" si="5"/>
        <v>1.0152810815006232</v>
      </c>
      <c r="BA21">
        <f t="shared" si="5"/>
        <v>1.0652406417112299</v>
      </c>
      <c r="BB21">
        <f t="shared" si="5"/>
        <v>0.88115226937967706</v>
      </c>
      <c r="BC21">
        <f t="shared" si="5"/>
        <v>0.89068933701175601</v>
      </c>
      <c r="BD21">
        <f t="shared" si="5"/>
        <v>0.89846233610303849</v>
      </c>
      <c r="BE21">
        <f t="shared" si="5"/>
        <v>0.92147547986424383</v>
      </c>
      <c r="BF21">
        <f t="shared" si="5"/>
        <v>1.6748083935878193</v>
      </c>
      <c r="BG21">
        <f t="shared" si="5"/>
        <v>1.6924495220858549</v>
      </c>
      <c r="BH21">
        <f>BH20/BH19</f>
        <v>1.6132574370462918</v>
      </c>
      <c r="BI21">
        <f t="shared" ref="BI21:CC21" si="6">BI20/BI19</f>
        <v>1.6814673885429428</v>
      </c>
      <c r="BJ21">
        <f t="shared" si="6"/>
        <v>0.78526278975276831</v>
      </c>
      <c r="BK21">
        <f t="shared" si="6"/>
        <v>0.83487823133168293</v>
      </c>
      <c r="BL21">
        <f t="shared" si="6"/>
        <v>0.83524627281593977</v>
      </c>
      <c r="BM21">
        <f t="shared" si="6"/>
        <v>0.84623474684824374</v>
      </c>
      <c r="BN21">
        <f t="shared" si="6"/>
        <v>0.77062976092369007</v>
      </c>
      <c r="BO21">
        <f t="shared" si="6"/>
        <v>0.78371170233526311</v>
      </c>
      <c r="BP21">
        <f t="shared" si="6"/>
        <v>0.77218957952942602</v>
      </c>
      <c r="BQ21">
        <f t="shared" si="6"/>
        <v>0.7658402203856749</v>
      </c>
      <c r="BR21">
        <f t="shared" si="6"/>
        <v>1.1554622893429538</v>
      </c>
      <c r="BS21">
        <f t="shared" si="6"/>
        <v>1.0853507876346717</v>
      </c>
      <c r="BT21">
        <f t="shared" si="6"/>
        <v>1.1198840723403849</v>
      </c>
      <c r="BU21">
        <f t="shared" si="6"/>
        <v>1.1416425045059164</v>
      </c>
      <c r="BV21">
        <f t="shared" si="6"/>
        <v>0.75478373076873118</v>
      </c>
      <c r="BW21">
        <f t="shared" si="6"/>
        <v>0.76429044361068199</v>
      </c>
      <c r="BX21">
        <f t="shared" si="6"/>
        <v>0.78025848917533724</v>
      </c>
      <c r="BY21">
        <f t="shared" si="6"/>
        <v>0.77335556438654385</v>
      </c>
      <c r="BZ21">
        <f t="shared" si="6"/>
        <v>0.71254951310355308</v>
      </c>
      <c r="CA21">
        <f t="shared" si="6"/>
        <v>0.71248340253335296</v>
      </c>
      <c r="CB21">
        <f t="shared" si="6"/>
        <v>0.72218891440924138</v>
      </c>
      <c r="CC21">
        <f t="shared" si="6"/>
        <v>0.71009543491775462</v>
      </c>
      <c r="CD21">
        <f>CD20/CD19</f>
        <v>0.86615202274888348</v>
      </c>
      <c r="CE21">
        <f t="shared" ref="CE21:CS21" si="7">CE20/CE19</f>
        <v>0.83704228289393645</v>
      </c>
      <c r="CF21">
        <f t="shared" si="7"/>
        <v>0.86573543766128991</v>
      </c>
      <c r="CG21">
        <f t="shared" si="7"/>
        <v>0.85405300336185686</v>
      </c>
      <c r="CH21">
        <f t="shared" si="7"/>
        <v>0.62595663265306123</v>
      </c>
      <c r="CI21">
        <f t="shared" si="7"/>
        <v>0.64355072077647935</v>
      </c>
      <c r="CJ21">
        <f t="shared" si="7"/>
        <v>0.63016843488573349</v>
      </c>
      <c r="CK21">
        <f t="shared" si="7"/>
        <v>0.64714700008091197</v>
      </c>
      <c r="CL21">
        <f t="shared" si="7"/>
        <v>3.837378399617021</v>
      </c>
      <c r="CM21">
        <f t="shared" si="7"/>
        <v>3.8373325083624974</v>
      </c>
      <c r="CN21">
        <f t="shared" si="7"/>
        <v>3.812256882106523</v>
      </c>
      <c r="CO21">
        <f t="shared" si="7"/>
        <v>3.8507753389767023</v>
      </c>
      <c r="CP21">
        <f t="shared" si="7"/>
        <v>3.9673159383267951</v>
      </c>
      <c r="CQ21">
        <f t="shared" si="7"/>
        <v>3.8990813324049327</v>
      </c>
      <c r="CR21">
        <f t="shared" si="7"/>
        <v>3.9199968969568011</v>
      </c>
      <c r="CS21">
        <f t="shared" si="7"/>
        <v>3.9302287366898909</v>
      </c>
    </row>
    <row r="23" spans="1:97" x14ac:dyDescent="0.25">
      <c r="A23" s="9" t="s">
        <v>101</v>
      </c>
    </row>
    <row r="24" spans="1:9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</row>
    <row r="25" spans="1:97" ht="15.75" x14ac:dyDescent="0.25">
      <c r="A25" s="2"/>
      <c r="B25" s="3">
        <f>B21</f>
        <v>2.9459842263724525</v>
      </c>
      <c r="C25" s="3">
        <f t="shared" ref="C25:E25" si="8">C21</f>
        <v>2.9128482295433771</v>
      </c>
      <c r="D25" s="3">
        <f t="shared" si="8"/>
        <v>2.8804704657978712</v>
      </c>
      <c r="E25" s="3">
        <f t="shared" si="8"/>
        <v>2.771123872026251</v>
      </c>
      <c r="F25" s="4">
        <f>F21</f>
        <v>2.0292038511979018</v>
      </c>
      <c r="G25" s="4">
        <f t="shared" ref="G25:I25" si="9">G21</f>
        <v>2.0153633929295935</v>
      </c>
      <c r="H25" s="4">
        <f t="shared" si="9"/>
        <v>2.1581671372801052</v>
      </c>
      <c r="I25" s="4">
        <f t="shared" si="9"/>
        <v>2.2648747062133801</v>
      </c>
      <c r="J25" s="5">
        <f>J21</f>
        <v>2.7705541045651461</v>
      </c>
      <c r="K25" s="5">
        <f t="shared" ref="K25:M25" si="10">K21</f>
        <v>2.543731768276976</v>
      </c>
      <c r="L25" s="5">
        <f t="shared" si="10"/>
        <v>2.7480436732547711</v>
      </c>
      <c r="M25" s="5">
        <f t="shared" si="10"/>
        <v>2.7870469162146945</v>
      </c>
    </row>
    <row r="26" spans="1:97" ht="15.75" x14ac:dyDescent="0.25">
      <c r="A26" s="2"/>
      <c r="B26" s="3">
        <f>N21</f>
        <v>2.1510639847935944</v>
      </c>
      <c r="C26" s="3">
        <f t="shared" ref="C26:E26" si="11">O21</f>
        <v>2.3234703805253742</v>
      </c>
      <c r="D26" s="3">
        <f t="shared" si="11"/>
        <v>2.3906340209957961</v>
      </c>
      <c r="E26" s="3">
        <f t="shared" si="11"/>
        <v>2.3289526727404661</v>
      </c>
      <c r="F26" s="4">
        <f>R21</f>
        <v>1.7480186436785889</v>
      </c>
      <c r="G26" s="4">
        <f t="shared" ref="G26:I26" si="12">S21</f>
        <v>1.9482704601296124</v>
      </c>
      <c r="H26" s="4">
        <f t="shared" si="12"/>
        <v>1.9161998224955765</v>
      </c>
      <c r="I26" s="4">
        <f t="shared" si="12"/>
        <v>1.9721818478083755</v>
      </c>
      <c r="J26" s="5">
        <f>V21</f>
        <v>2.4458202123633455</v>
      </c>
      <c r="K26" s="5">
        <f t="shared" ref="K26:M26" si="13">W21</f>
        <v>2.4090329219557236</v>
      </c>
      <c r="L26" s="5">
        <f t="shared" si="13"/>
        <v>2.4341769939856412</v>
      </c>
      <c r="M26" s="5">
        <f t="shared" si="13"/>
        <v>2.4263894665784789</v>
      </c>
    </row>
    <row r="27" spans="1:97" ht="15.75" x14ac:dyDescent="0.25">
      <c r="A27" s="2"/>
      <c r="B27" s="3">
        <f>Z21</f>
        <v>1.5750020024945361</v>
      </c>
      <c r="C27" s="3">
        <f t="shared" ref="C27:E27" si="14">AA21</f>
        <v>1.663331351004925</v>
      </c>
      <c r="D27" s="3">
        <f t="shared" si="14"/>
        <v>1.7929879369573309</v>
      </c>
      <c r="E27" s="3">
        <f t="shared" si="14"/>
        <v>1.7370453071204033</v>
      </c>
      <c r="F27" s="4">
        <f>AD21</f>
        <v>1.7238082745231786</v>
      </c>
      <c r="G27" s="4">
        <f t="shared" ref="G27:I27" si="15">AE21</f>
        <v>1.7238315687590455</v>
      </c>
      <c r="H27" s="4">
        <f t="shared" si="15"/>
        <v>1.7435775574829915</v>
      </c>
      <c r="I27" s="4">
        <f t="shared" si="15"/>
        <v>1.8606393757925457</v>
      </c>
      <c r="J27" s="5">
        <f>AH21</f>
        <v>2.2157602679161994</v>
      </c>
      <c r="K27" s="5">
        <f t="shared" ref="K27:M27" si="16">AI21</f>
        <v>2.0858973690386171</v>
      </c>
      <c r="L27" s="5">
        <f t="shared" si="16"/>
        <v>2.0728064014448404</v>
      </c>
      <c r="M27" s="5">
        <f t="shared" si="16"/>
        <v>2.0619097718782089</v>
      </c>
    </row>
    <row r="28" spans="1:97" ht="15.75" x14ac:dyDescent="0.25">
      <c r="A28" s="2"/>
      <c r="B28" s="3">
        <f>AL21</f>
        <v>1.2095025991131847</v>
      </c>
      <c r="C28" s="3">
        <f t="shared" ref="C28:E28" si="17">AM21</f>
        <v>1.2510303728372185</v>
      </c>
      <c r="D28" s="3">
        <f t="shared" si="17"/>
        <v>1.2630374121537826</v>
      </c>
      <c r="E28" s="3">
        <f t="shared" si="17"/>
        <v>1.2978748936355902</v>
      </c>
      <c r="F28" s="4">
        <f>AP21</f>
        <v>1.1506079843973889</v>
      </c>
      <c r="G28" s="4">
        <f t="shared" ref="G28:I28" si="18">AQ21</f>
        <v>1.1849655833608697</v>
      </c>
      <c r="H28" s="4">
        <f t="shared" si="18"/>
        <v>1.1993297611645515</v>
      </c>
      <c r="I28" s="4">
        <f t="shared" si="18"/>
        <v>1.221216023025288</v>
      </c>
      <c r="J28" s="5">
        <f>AT21</f>
        <v>1.7594656418702534</v>
      </c>
      <c r="K28" s="5">
        <f t="shared" ref="K28:M28" si="19">AU21</f>
        <v>1.8496526089712426</v>
      </c>
      <c r="L28" s="5">
        <f t="shared" si="19"/>
        <v>1.8344772261342366</v>
      </c>
      <c r="M28" s="5">
        <f t="shared" si="19"/>
        <v>1.8475221385613487</v>
      </c>
    </row>
    <row r="29" spans="1:97" ht="15.75" x14ac:dyDescent="0.25">
      <c r="A29" s="2"/>
      <c r="B29" s="3">
        <f>AX21</f>
        <v>0.94269122644277636</v>
      </c>
      <c r="C29" s="3">
        <f t="shared" ref="C29:E29" si="20">AY21</f>
        <v>0.9679117435505078</v>
      </c>
      <c r="D29" s="3">
        <f t="shared" si="20"/>
        <v>1.0152810815006232</v>
      </c>
      <c r="E29" s="3">
        <f t="shared" si="20"/>
        <v>1.0652406417112299</v>
      </c>
      <c r="F29" s="4">
        <f>BB21</f>
        <v>0.88115226937967706</v>
      </c>
      <c r="G29" s="4">
        <f t="shared" ref="G29:I29" si="21">BC21</f>
        <v>0.89068933701175601</v>
      </c>
      <c r="H29" s="4">
        <f t="shared" si="21"/>
        <v>0.89846233610303849</v>
      </c>
      <c r="I29" s="4">
        <f t="shared" si="21"/>
        <v>0.92147547986424383</v>
      </c>
      <c r="J29" s="5">
        <f>BF21</f>
        <v>1.6748083935878193</v>
      </c>
      <c r="K29" s="5">
        <f t="shared" ref="K29:M29" si="22">BG21</f>
        <v>1.6924495220858549</v>
      </c>
      <c r="L29" s="5">
        <f t="shared" si="22"/>
        <v>1.6132574370462918</v>
      </c>
      <c r="M29" s="5">
        <f t="shared" si="22"/>
        <v>1.6814673885429428</v>
      </c>
    </row>
    <row r="30" spans="1:97" ht="15.75" x14ac:dyDescent="0.25">
      <c r="A30" s="6"/>
      <c r="B30" s="3">
        <f>BJ21</f>
        <v>0.78526278975276831</v>
      </c>
      <c r="C30" s="3">
        <f t="shared" ref="C30:E30" si="23">BK21</f>
        <v>0.83487823133168293</v>
      </c>
      <c r="D30" s="3">
        <f t="shared" si="23"/>
        <v>0.83524627281593977</v>
      </c>
      <c r="E30" s="3">
        <f t="shared" si="23"/>
        <v>0.84623474684824374</v>
      </c>
      <c r="F30" s="4">
        <f>BN21</f>
        <v>0.77062976092369007</v>
      </c>
      <c r="G30" s="4">
        <f t="shared" ref="G30:I30" si="24">BO21</f>
        <v>0.78371170233526311</v>
      </c>
      <c r="H30" s="4">
        <f t="shared" si="24"/>
        <v>0.77218957952942602</v>
      </c>
      <c r="I30" s="4">
        <f t="shared" si="24"/>
        <v>0.7658402203856749</v>
      </c>
      <c r="J30" s="5">
        <f>BR21</f>
        <v>1.1554622893429538</v>
      </c>
      <c r="K30" s="5">
        <f t="shared" ref="K30:M30" si="25">BS21</f>
        <v>1.0853507876346717</v>
      </c>
      <c r="L30" s="5">
        <f t="shared" si="25"/>
        <v>1.1198840723403849</v>
      </c>
      <c r="M30" s="5">
        <f t="shared" si="25"/>
        <v>1.1416425045059164</v>
      </c>
      <c r="Q30">
        <v>72</v>
      </c>
      <c r="U30">
        <v>73</v>
      </c>
      <c r="X30" t="s">
        <v>106</v>
      </c>
    </row>
    <row r="31" spans="1:97" ht="16.5" thickBot="1" x14ac:dyDescent="0.3">
      <c r="A31" s="7"/>
      <c r="B31" s="3">
        <f>BV21</f>
        <v>0.75478373076873118</v>
      </c>
      <c r="C31" s="3">
        <f t="shared" ref="C31:E31" si="26">BW21</f>
        <v>0.76429044361068199</v>
      </c>
      <c r="D31" s="3">
        <f t="shared" si="26"/>
        <v>0.78025848917533724</v>
      </c>
      <c r="E31" s="3">
        <f t="shared" si="26"/>
        <v>0.77335556438654385</v>
      </c>
      <c r="F31" s="4">
        <f>BZ21</f>
        <v>0.71254951310355308</v>
      </c>
      <c r="G31" s="4">
        <f t="shared" ref="G31:I31" si="27">CA21</f>
        <v>0.71248340253335296</v>
      </c>
      <c r="H31" s="4">
        <f t="shared" si="27"/>
        <v>0.72218891440924138</v>
      </c>
      <c r="I31" s="4">
        <f t="shared" si="27"/>
        <v>0.71009543491775462</v>
      </c>
      <c r="J31" s="5">
        <f>CD21</f>
        <v>0.86615202274888348</v>
      </c>
      <c r="K31" s="5">
        <f t="shared" ref="K31:M31" si="28">CE21</f>
        <v>0.83704228289393645</v>
      </c>
      <c r="L31" s="5">
        <f t="shared" si="28"/>
        <v>0.86573543766128991</v>
      </c>
      <c r="M31" s="5">
        <f t="shared" si="28"/>
        <v>0.85405300336185686</v>
      </c>
      <c r="R31" t="s">
        <v>107</v>
      </c>
      <c r="S31" t="s">
        <v>108</v>
      </c>
      <c r="T31" t="s">
        <v>109</v>
      </c>
      <c r="U31" t="s">
        <v>107</v>
      </c>
      <c r="V31" t="s">
        <v>108</v>
      </c>
      <c r="W31" t="s">
        <v>109</v>
      </c>
      <c r="X31" t="s">
        <v>107</v>
      </c>
      <c r="Y31" t="s">
        <v>108</v>
      </c>
      <c r="Z31" t="s">
        <v>109</v>
      </c>
    </row>
    <row r="32" spans="1:97" ht="15.75" x14ac:dyDescent="0.25">
      <c r="A32" s="1"/>
      <c r="B32" s="3">
        <f>CH21</f>
        <v>0.62595663265306123</v>
      </c>
      <c r="C32" s="3">
        <f t="shared" ref="C32:E32" si="29">CI21</f>
        <v>0.64355072077647935</v>
      </c>
      <c r="D32" s="3">
        <f t="shared" si="29"/>
        <v>0.63016843488573349</v>
      </c>
      <c r="E32" s="3">
        <f t="shared" si="29"/>
        <v>0.64714700008091197</v>
      </c>
      <c r="F32" s="4">
        <f>CL21</f>
        <v>3.837378399617021</v>
      </c>
      <c r="G32" s="4">
        <f t="shared" ref="G32:I32" si="30">CM21</f>
        <v>3.8373325083624974</v>
      </c>
      <c r="H32" s="4">
        <f t="shared" si="30"/>
        <v>3.812256882106523</v>
      </c>
      <c r="I32" s="4">
        <f t="shared" si="30"/>
        <v>3.8507753389767023</v>
      </c>
      <c r="J32" s="5">
        <f>CP21</f>
        <v>3.9673159383267951</v>
      </c>
      <c r="K32" s="5">
        <f t="shared" ref="K32:M32" si="31">CQ21</f>
        <v>3.8990813324049327</v>
      </c>
      <c r="L32" s="5">
        <f t="shared" si="31"/>
        <v>3.9199968969568011</v>
      </c>
      <c r="M32" s="5">
        <f t="shared" si="31"/>
        <v>3.9302287366898909</v>
      </c>
      <c r="R32">
        <v>30</v>
      </c>
      <c r="S32">
        <f>AVERAGE(B40:E40)</f>
        <v>69.055125186620927</v>
      </c>
      <c r="T32">
        <f>STDEV(B40:E40)</f>
        <v>2.3376873042738167</v>
      </c>
      <c r="U32" s="25">
        <v>10</v>
      </c>
      <c r="V32">
        <f>AVERAGE(F40:I40)</f>
        <v>45.613420545179238</v>
      </c>
      <c r="W32">
        <f>STDEV(F40:I40)</f>
        <v>3.6287594036203767</v>
      </c>
      <c r="X32" s="25">
        <v>15</v>
      </c>
      <c r="Y32">
        <f>AVERAGE(J40:M40)</f>
        <v>63.962428837671467</v>
      </c>
      <c r="Z32">
        <f>STDEV(J40:M40)</f>
        <v>3.4988016318334787</v>
      </c>
    </row>
    <row r="33" spans="1:26" ht="15.75" x14ac:dyDescent="0.25">
      <c r="R33">
        <v>20</v>
      </c>
      <c r="S33">
        <f t="shared" ref="S33:S38" si="32">AVERAGE(B41:E41)</f>
        <v>51.210429862755277</v>
      </c>
      <c r="T33">
        <f t="shared" ref="T33:T38" si="33">STDEV(B41:E41)</f>
        <v>3.171528669790705</v>
      </c>
      <c r="U33" s="26">
        <f>U32*0.8</f>
        <v>8</v>
      </c>
      <c r="V33">
        <f>AVERAGE(F41:I41)</f>
        <v>38.81131106610507</v>
      </c>
      <c r="W33">
        <f t="shared" ref="W33:W38" si="34">STDEV(F41:I41)</f>
        <v>3.1245381828679202</v>
      </c>
      <c r="X33" s="26">
        <f>X32*0.8</f>
        <v>12</v>
      </c>
      <c r="Y33">
        <f t="shared" ref="Y33:Y38" si="35">AVERAGE(J41:M41)</f>
        <v>55.226485863192266</v>
      </c>
      <c r="Z33">
        <f t="shared" ref="Z33:Z38" si="36">STDEV(J41:M41)</f>
        <v>0.47578072448283326</v>
      </c>
    </row>
    <row r="34" spans="1:26" ht="15.75" x14ac:dyDescent="0.25">
      <c r="A34" t="s">
        <v>99</v>
      </c>
      <c r="C34" s="3">
        <f>AVERAGE(F32:M32)</f>
        <v>3.8817957541801453</v>
      </c>
      <c r="G34" s="4"/>
      <c r="K34" s="5"/>
      <c r="R34">
        <v>13.333333333333334</v>
      </c>
      <c r="S34">
        <f t="shared" si="32"/>
        <v>32.522547409502508</v>
      </c>
      <c r="T34">
        <f t="shared" si="33"/>
        <v>2.9092252024101288</v>
      </c>
      <c r="U34" s="26">
        <f>U33*0.8</f>
        <v>6.4</v>
      </c>
      <c r="V34">
        <f t="shared" ref="V34:V38" si="37">AVERAGE(F42:I42)</f>
        <v>34.706540565269961</v>
      </c>
      <c r="W34">
        <f t="shared" si="34"/>
        <v>2.0270472408671427</v>
      </c>
      <c r="X34" s="26">
        <f>X33*0.8</f>
        <v>9.6000000000000014</v>
      </c>
      <c r="Y34">
        <f t="shared" si="35"/>
        <v>45.372785641419355</v>
      </c>
      <c r="Z34">
        <f t="shared" si="36"/>
        <v>2.2120867778781497</v>
      </c>
    </row>
    <row r="35" spans="1:26" ht="15.75" x14ac:dyDescent="0.25">
      <c r="R35">
        <v>8.8888888888888893</v>
      </c>
      <c r="S35">
        <f t="shared" si="32"/>
        <v>19.064359122666914</v>
      </c>
      <c r="T35">
        <f t="shared" si="33"/>
        <v>1.1235591736740349</v>
      </c>
      <c r="U35" s="27">
        <f>U34/2</f>
        <v>3.2</v>
      </c>
      <c r="V35">
        <f t="shared" si="37"/>
        <v>17.020302400629948</v>
      </c>
      <c r="W35">
        <f t="shared" si="34"/>
        <v>0.9132424917228833</v>
      </c>
      <c r="X35" s="26">
        <f>X34*0.8</f>
        <v>7.6800000000000015</v>
      </c>
      <c r="Y35">
        <f t="shared" si="35"/>
        <v>36.549793254492172</v>
      </c>
      <c r="Z35">
        <f t="shared" si="36"/>
        <v>1.317033129737941</v>
      </c>
    </row>
    <row r="36" spans="1:26" ht="15.75" x14ac:dyDescent="0.25">
      <c r="A36" t="s">
        <v>100</v>
      </c>
      <c r="C36" s="3">
        <f>AVERAGE(B32:E32)</f>
        <v>0.63670569709904656</v>
      </c>
      <c r="G36" s="8"/>
      <c r="K36" s="5"/>
      <c r="L36" t="s">
        <v>111</v>
      </c>
      <c r="R36">
        <v>5.9259259259259265</v>
      </c>
      <c r="S36">
        <f t="shared" si="32"/>
        <v>11.126824521074118</v>
      </c>
      <c r="T36">
        <f t="shared" si="33"/>
        <v>1.6674834984946498</v>
      </c>
      <c r="U36" s="27">
        <f t="shared" ref="U36:U38" si="38">U35/2</f>
        <v>1.6</v>
      </c>
      <c r="V36">
        <f t="shared" si="37"/>
        <v>8.0502899425112506</v>
      </c>
      <c r="W36">
        <f t="shared" si="34"/>
        <v>0.5303513911560046</v>
      </c>
      <c r="X36" s="26">
        <f>X35*0.8</f>
        <v>6.1440000000000019</v>
      </c>
      <c r="Y36">
        <f t="shared" si="35"/>
        <v>31.702971878138229</v>
      </c>
      <c r="Z36">
        <f t="shared" si="36"/>
        <v>1.0963327701758463</v>
      </c>
    </row>
    <row r="37" spans="1:26" ht="15.75" x14ac:dyDescent="0.25">
      <c r="R37">
        <v>3.9506172839506175</v>
      </c>
      <c r="S37">
        <f t="shared" si="32"/>
        <v>5.8149330147664466</v>
      </c>
      <c r="T37">
        <f t="shared" si="33"/>
        <v>0.84051774567749349</v>
      </c>
      <c r="U37" s="27">
        <f t="shared" si="38"/>
        <v>0.8</v>
      </c>
      <c r="V37">
        <f t="shared" si="37"/>
        <v>4.2028762313346943</v>
      </c>
      <c r="W37">
        <f t="shared" si="34"/>
        <v>0.23349837988066396</v>
      </c>
      <c r="X37" s="27">
        <f t="shared" ref="X37:X38" si="39">X36/2</f>
        <v>3.072000000000001</v>
      </c>
      <c r="Y37">
        <f t="shared" si="35"/>
        <v>15.065197198153367</v>
      </c>
      <c r="Z37">
        <f t="shared" si="36"/>
        <v>0.94173839435562656</v>
      </c>
    </row>
    <row r="38" spans="1:26" ht="15.75" x14ac:dyDescent="0.25">
      <c r="R38">
        <v>2.6337448559670782</v>
      </c>
      <c r="S38">
        <f t="shared" si="32"/>
        <v>4.0512391820807796</v>
      </c>
      <c r="T38">
        <f t="shared" si="33"/>
        <v>0.34095908581023249</v>
      </c>
      <c r="U38" s="27">
        <f>U37/2</f>
        <v>0.4</v>
      </c>
      <c r="V38">
        <f t="shared" si="37"/>
        <v>2.3920328180891852</v>
      </c>
      <c r="W38">
        <f t="shared" si="34"/>
        <v>0.16525435590152687</v>
      </c>
      <c r="X38" s="27">
        <f t="shared" si="39"/>
        <v>1.5360000000000005</v>
      </c>
      <c r="Y38">
        <f t="shared" si="35"/>
        <v>6.7498893933460735</v>
      </c>
      <c r="Z38">
        <f t="shared" si="36"/>
        <v>0.42131293206857945</v>
      </c>
    </row>
    <row r="39" spans="1:26" x14ac:dyDescent="0.25">
      <c r="A39" s="9" t="s">
        <v>102</v>
      </c>
    </row>
    <row r="40" spans="1:26" ht="15.75" x14ac:dyDescent="0.25">
      <c r="A40" s="2"/>
      <c r="B40" s="3">
        <f>(B25-$C$36)/($C$34-$C$36)*100</f>
        <v>71.162232438953055</v>
      </c>
      <c r="C40" s="3">
        <f t="shared" ref="C40:M47" si="40">(C25-$C$36)/($C$34-$C$36)*100</f>
        <v>70.141120659427258</v>
      </c>
      <c r="D40" s="3">
        <f t="shared" si="40"/>
        <v>69.143374428167689</v>
      </c>
      <c r="E40" s="3">
        <f t="shared" si="40"/>
        <v>65.77377321993572</v>
      </c>
      <c r="F40" s="3">
        <f t="shared" si="40"/>
        <v>42.910924800385445</v>
      </c>
      <c r="G40" s="3">
        <f t="shared" si="40"/>
        <v>42.484420203444998</v>
      </c>
      <c r="H40" s="3">
        <f t="shared" si="40"/>
        <v>46.885029796355987</v>
      </c>
      <c r="I40" s="3">
        <f t="shared" si="40"/>
        <v>50.173307380530538</v>
      </c>
      <c r="J40" s="3">
        <f t="shared" si="40"/>
        <v>65.756215387916185</v>
      </c>
      <c r="K40" s="3">
        <f t="shared" si="40"/>
        <v>58.766506865244459</v>
      </c>
      <c r="L40" s="3">
        <f t="shared" si="40"/>
        <v>65.062538759088724</v>
      </c>
      <c r="M40" s="3">
        <f t="shared" si="40"/>
        <v>66.264454338436508</v>
      </c>
    </row>
    <row r="41" spans="1:26" ht="15.75" x14ac:dyDescent="0.25">
      <c r="A41" s="2"/>
      <c r="B41" s="3">
        <f t="shared" ref="B41:F47" si="41">(B26-$C$36)/($C$34-$C$36)*100</f>
        <v>46.6661405710474</v>
      </c>
      <c r="C41" s="3">
        <f t="shared" si="41"/>
        <v>51.978979127116823</v>
      </c>
      <c r="D41" s="3">
        <f t="shared" si="41"/>
        <v>54.048679483316931</v>
      </c>
      <c r="E41" s="3">
        <f t="shared" si="41"/>
        <v>52.147920269539938</v>
      </c>
      <c r="F41" s="3">
        <f t="shared" si="41"/>
        <v>34.245981684069157</v>
      </c>
      <c r="G41" s="3">
        <f t="shared" si="40"/>
        <v>40.416898759669408</v>
      </c>
      <c r="H41" s="3">
        <f t="shared" si="40"/>
        <v>39.428616860864949</v>
      </c>
      <c r="I41" s="3">
        <f t="shared" si="40"/>
        <v>41.153746959816765</v>
      </c>
      <c r="J41" s="3">
        <f t="shared" si="40"/>
        <v>55.749285333904275</v>
      </c>
      <c r="K41" s="3">
        <f t="shared" si="40"/>
        <v>54.615656073682409</v>
      </c>
      <c r="L41" s="3">
        <f t="shared" si="40"/>
        <v>55.390490410715699</v>
      </c>
      <c r="M41" s="3">
        <f t="shared" si="40"/>
        <v>55.150511634466667</v>
      </c>
    </row>
    <row r="42" spans="1:26" ht="15.75" x14ac:dyDescent="0.25">
      <c r="A42" s="2"/>
      <c r="B42" s="3">
        <f t="shared" si="41"/>
        <v>28.914337934876006</v>
      </c>
      <c r="C42" s="3">
        <f t="shared" si="41"/>
        <v>31.636276215684138</v>
      </c>
      <c r="D42" s="3">
        <f t="shared" si="41"/>
        <v>35.631745791928495</v>
      </c>
      <c r="E42" s="3">
        <f t="shared" si="41"/>
        <v>33.907829695521386</v>
      </c>
      <c r="F42" s="3">
        <f t="shared" si="41"/>
        <v>33.499920134788546</v>
      </c>
      <c r="G42" s="3">
        <f t="shared" si="40"/>
        <v>33.500637964970672</v>
      </c>
      <c r="H42" s="3">
        <f t="shared" si="40"/>
        <v>34.109126123284128</v>
      </c>
      <c r="I42" s="3">
        <f t="shared" si="40"/>
        <v>37.716478038036513</v>
      </c>
      <c r="J42" s="3">
        <f t="shared" si="40"/>
        <v>48.659807371801712</v>
      </c>
      <c r="K42" s="3">
        <f t="shared" si="40"/>
        <v>44.657980100653752</v>
      </c>
      <c r="L42" s="3">
        <f t="shared" si="40"/>
        <v>44.254571647775506</v>
      </c>
      <c r="M42" s="3">
        <f t="shared" si="40"/>
        <v>43.918783445446444</v>
      </c>
    </row>
    <row r="43" spans="1:26" ht="15.75" x14ac:dyDescent="0.25">
      <c r="A43" s="2"/>
      <c r="B43" s="3">
        <f t="shared" si="41"/>
        <v>17.651186621592831</v>
      </c>
      <c r="C43" s="3">
        <f t="shared" si="41"/>
        <v>18.930897600134593</v>
      </c>
      <c r="D43" s="3">
        <f t="shared" si="41"/>
        <v>19.300903951433334</v>
      </c>
      <c r="E43" s="3">
        <f t="shared" si="41"/>
        <v>20.3744483175069</v>
      </c>
      <c r="F43" s="3">
        <f t="shared" si="41"/>
        <v>15.836302791565309</v>
      </c>
      <c r="G43" s="3">
        <f t="shared" si="40"/>
        <v>16.895059200759846</v>
      </c>
      <c r="H43" s="3">
        <f t="shared" si="40"/>
        <v>17.337702626705383</v>
      </c>
      <c r="I43" s="3">
        <f t="shared" si="40"/>
        <v>18.012144983489247</v>
      </c>
      <c r="J43" s="3">
        <f t="shared" si="40"/>
        <v>34.59872992804118</v>
      </c>
      <c r="K43" s="3">
        <f t="shared" si="40"/>
        <v>37.377912185377696</v>
      </c>
      <c r="L43" s="3">
        <f t="shared" si="40"/>
        <v>36.910270838910535</v>
      </c>
      <c r="M43" s="3">
        <f t="shared" si="40"/>
        <v>37.312260065639293</v>
      </c>
    </row>
    <row r="44" spans="1:26" ht="15.75" x14ac:dyDescent="0.25">
      <c r="A44" s="2"/>
      <c r="B44" s="3">
        <f t="shared" si="41"/>
        <v>9.4291845206588309</v>
      </c>
      <c r="C44" s="3">
        <f t="shared" si="41"/>
        <v>10.206374572833125</v>
      </c>
      <c r="D44" s="3">
        <f t="shared" si="41"/>
        <v>11.666097943121448</v>
      </c>
      <c r="E44" s="3">
        <f t="shared" si="41"/>
        <v>13.205641047683065</v>
      </c>
      <c r="F44" s="3">
        <f t="shared" si="41"/>
        <v>7.5328132033570085</v>
      </c>
      <c r="G44" s="3">
        <f t="shared" si="40"/>
        <v>7.826705436371256</v>
      </c>
      <c r="H44" s="3">
        <f t="shared" si="40"/>
        <v>8.0662365111505547</v>
      </c>
      <c r="I44" s="3">
        <f t="shared" si="40"/>
        <v>8.7754046191661832</v>
      </c>
      <c r="J44" s="3">
        <f t="shared" si="40"/>
        <v>31.989950301179864</v>
      </c>
      <c r="K44" s="3">
        <f t="shared" si="40"/>
        <v>32.533575537698056</v>
      </c>
      <c r="L44" s="3">
        <f t="shared" si="40"/>
        <v>30.093209210521454</v>
      </c>
      <c r="M44" s="3">
        <f t="shared" si="40"/>
        <v>32.195152463153548</v>
      </c>
    </row>
    <row r="45" spans="1:26" ht="15.75" x14ac:dyDescent="0.25">
      <c r="A45" s="6"/>
      <c r="B45" s="3">
        <f t="shared" si="41"/>
        <v>4.5779035416769362</v>
      </c>
      <c r="C45" s="3">
        <f t="shared" si="41"/>
        <v>6.1068423602052224</v>
      </c>
      <c r="D45" s="3">
        <f t="shared" si="41"/>
        <v>6.1181838477381723</v>
      </c>
      <c r="E45" s="3">
        <f t="shared" si="41"/>
        <v>6.456802309445453</v>
      </c>
      <c r="F45" s="3">
        <f t="shared" si="41"/>
        <v>4.1269752601290159</v>
      </c>
      <c r="G45" s="3">
        <f t="shared" si="40"/>
        <v>4.5301055641101637</v>
      </c>
      <c r="H45" s="3">
        <f t="shared" si="40"/>
        <v>4.1750422961218163</v>
      </c>
      <c r="I45" s="3">
        <f t="shared" si="40"/>
        <v>3.9793818049777809</v>
      </c>
      <c r="J45" s="3">
        <f t="shared" si="40"/>
        <v>15.985892012825051</v>
      </c>
      <c r="K45" s="3">
        <f t="shared" si="40"/>
        <v>13.825350996242413</v>
      </c>
      <c r="L45" s="3">
        <f t="shared" si="40"/>
        <v>14.889521299632245</v>
      </c>
      <c r="M45" s="3">
        <f t="shared" si="40"/>
        <v>15.560024483913756</v>
      </c>
    </row>
    <row r="46" spans="1:26" ht="16.5" thickBot="1" x14ac:dyDescent="0.3">
      <c r="A46" s="7"/>
      <c r="B46" s="3">
        <f t="shared" si="41"/>
        <v>3.6386673895852901</v>
      </c>
      <c r="C46" s="3">
        <f t="shared" si="41"/>
        <v>3.9316242158898866</v>
      </c>
      <c r="D46" s="3">
        <f t="shared" si="41"/>
        <v>4.4236920871593277</v>
      </c>
      <c r="E46" s="3">
        <f t="shared" si="41"/>
        <v>4.210973035688613</v>
      </c>
      <c r="F46" s="3">
        <f t="shared" si="41"/>
        <v>2.3371867858954487</v>
      </c>
      <c r="G46" s="3">
        <f t="shared" si="40"/>
        <v>2.3351495367270982</v>
      </c>
      <c r="H46" s="3">
        <f t="shared" si="40"/>
        <v>2.6342325114725926</v>
      </c>
      <c r="I46" s="3">
        <f t="shared" si="40"/>
        <v>2.2615624382616004</v>
      </c>
      <c r="J46" s="3">
        <f t="shared" si="40"/>
        <v>7.0705688167008782</v>
      </c>
      <c r="K46" s="3">
        <f t="shared" si="40"/>
        <v>6.1735293095406147</v>
      </c>
      <c r="L46" s="3">
        <f t="shared" si="40"/>
        <v>7.0577314198870509</v>
      </c>
      <c r="M46" s="3">
        <f t="shared" si="40"/>
        <v>6.6977280272557476</v>
      </c>
    </row>
    <row r="47" spans="1:26" x14ac:dyDescent="0.25">
      <c r="A47" s="1"/>
      <c r="B47" s="3">
        <f t="shared" si="41"/>
        <v>-0.33124086718425094</v>
      </c>
      <c r="C47" s="3">
        <f t="shared" si="41"/>
        <v>0.21093478322724146</v>
      </c>
      <c r="D47" s="3">
        <f t="shared" si="41"/>
        <v>-0.20145087188098654</v>
      </c>
      <c r="E47" s="3">
        <f t="shared" si="41"/>
        <v>0.32175695583798913</v>
      </c>
      <c r="F47" s="3">
        <f t="shared" si="41"/>
        <v>98.631244317358735</v>
      </c>
      <c r="G47" s="3">
        <f t="shared" si="40"/>
        <v>98.629830142290658</v>
      </c>
      <c r="H47" s="3">
        <f t="shared" si="40"/>
        <v>97.857105015563988</v>
      </c>
      <c r="I47" s="3">
        <f t="shared" si="40"/>
        <v>99.044081530626443</v>
      </c>
      <c r="J47" s="3">
        <f t="shared" si="40"/>
        <v>102.63537167358534</v>
      </c>
      <c r="K47" s="3">
        <f t="shared" si="40"/>
        <v>100.53266867546769</v>
      </c>
      <c r="L47" s="3">
        <f t="shared" si="40"/>
        <v>101.17719823193497</v>
      </c>
      <c r="M47" s="3">
        <f t="shared" si="40"/>
        <v>101.49250041317221</v>
      </c>
    </row>
  </sheetData>
  <mergeCells count="6">
    <mergeCell ref="B12:E12"/>
    <mergeCell ref="F12:I12"/>
    <mergeCell ref="J12:M12"/>
    <mergeCell ref="B3:E3"/>
    <mergeCell ref="F3:I3"/>
    <mergeCell ref="J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54DE-6947-45A8-AD6F-964A55770543}">
  <dimension ref="A1:CS47"/>
  <sheetViews>
    <sheetView topLeftCell="I22" workbookViewId="0">
      <selection activeCell="S30" sqref="S30"/>
    </sheetView>
  </sheetViews>
  <sheetFormatPr defaultRowHeight="15" x14ac:dyDescent="0.25"/>
  <sheetData>
    <row r="1" spans="1:14" ht="15.75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5.75" thickBot="1" x14ac:dyDescent="0.3">
      <c r="B2" s="31">
        <v>56</v>
      </c>
      <c r="C2" s="31"/>
      <c r="D2" s="31"/>
      <c r="E2" s="31"/>
      <c r="F2" s="31">
        <v>57</v>
      </c>
      <c r="G2" s="31"/>
      <c r="H2" s="31"/>
      <c r="I2" s="31"/>
      <c r="J2" s="31" t="s">
        <v>103</v>
      </c>
      <c r="K2" s="31"/>
      <c r="L2" s="31"/>
      <c r="M2" s="31"/>
    </row>
    <row r="3" spans="1:14" ht="15.75" x14ac:dyDescent="0.25">
      <c r="B3" s="10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2">
        <v>12</v>
      </c>
    </row>
    <row r="4" spans="1:14" ht="15.75" x14ac:dyDescent="0.25">
      <c r="B4" s="13">
        <v>30</v>
      </c>
      <c r="C4" s="14"/>
      <c r="D4" s="14"/>
      <c r="E4" s="14"/>
      <c r="F4" s="15">
        <v>30</v>
      </c>
      <c r="G4" s="16"/>
      <c r="H4" s="16"/>
      <c r="I4" s="16"/>
      <c r="J4" s="17">
        <v>30</v>
      </c>
      <c r="K4" s="18"/>
      <c r="L4" s="18"/>
      <c r="M4" s="18"/>
    </row>
    <row r="5" spans="1:14" ht="15.75" x14ac:dyDescent="0.25">
      <c r="B5" s="13">
        <f>B4*2/3</f>
        <v>20</v>
      </c>
      <c r="C5" s="14"/>
      <c r="D5" s="14"/>
      <c r="E5" s="14"/>
      <c r="F5" s="15">
        <f>F4*2/3</f>
        <v>20</v>
      </c>
      <c r="G5" s="16"/>
      <c r="H5" s="16"/>
      <c r="I5" s="16"/>
      <c r="J5" s="17">
        <f>J4*2/3</f>
        <v>20</v>
      </c>
      <c r="K5" s="18"/>
      <c r="L5" s="18"/>
      <c r="M5" s="18"/>
    </row>
    <row r="6" spans="1:14" ht="15.75" x14ac:dyDescent="0.25">
      <c r="A6" s="21"/>
      <c r="B6" s="13">
        <f t="shared" ref="B6:B10" si="0">B5*2/3</f>
        <v>13.333333333333334</v>
      </c>
      <c r="C6" s="14"/>
      <c r="D6" s="14"/>
      <c r="E6" s="14"/>
      <c r="F6" s="15">
        <f t="shared" ref="F6:F10" si="1">F5*2/3</f>
        <v>13.333333333333334</v>
      </c>
      <c r="G6" s="16"/>
      <c r="H6" s="16"/>
      <c r="I6" s="16"/>
      <c r="J6" s="17">
        <f t="shared" ref="J6:J10" si="2">J5*2/3</f>
        <v>13.333333333333334</v>
      </c>
      <c r="K6" s="18"/>
      <c r="L6" s="18"/>
      <c r="M6" s="18"/>
    </row>
    <row r="7" spans="1:14" ht="15.75" x14ac:dyDescent="0.25">
      <c r="A7" s="21"/>
      <c r="B7" s="13">
        <f t="shared" si="0"/>
        <v>8.8888888888888893</v>
      </c>
      <c r="C7" s="14"/>
      <c r="D7" s="14"/>
      <c r="E7" s="14"/>
      <c r="F7" s="15">
        <f t="shared" si="1"/>
        <v>8.8888888888888893</v>
      </c>
      <c r="G7" s="16"/>
      <c r="H7" s="16"/>
      <c r="I7" s="16"/>
      <c r="J7" s="17">
        <f t="shared" si="2"/>
        <v>8.8888888888888893</v>
      </c>
      <c r="K7" s="18"/>
      <c r="L7" s="18"/>
      <c r="M7" s="18"/>
    </row>
    <row r="8" spans="1:14" ht="15.75" x14ac:dyDescent="0.25">
      <c r="A8" s="21"/>
      <c r="B8" s="13">
        <f t="shared" si="0"/>
        <v>5.9259259259259265</v>
      </c>
      <c r="C8" s="14"/>
      <c r="D8" s="14"/>
      <c r="E8" s="14"/>
      <c r="F8" s="15">
        <f t="shared" si="1"/>
        <v>5.9259259259259265</v>
      </c>
      <c r="G8" s="16"/>
      <c r="H8" s="16"/>
      <c r="I8" s="16"/>
      <c r="J8" s="17">
        <f t="shared" si="2"/>
        <v>5.9259259259259265</v>
      </c>
      <c r="K8" s="18"/>
      <c r="L8" s="18"/>
      <c r="M8" s="18"/>
    </row>
    <row r="9" spans="1:14" ht="15.75" x14ac:dyDescent="0.25">
      <c r="A9" s="21"/>
      <c r="B9" s="13">
        <f t="shared" si="0"/>
        <v>3.9506172839506175</v>
      </c>
      <c r="C9" s="14"/>
      <c r="D9" s="14"/>
      <c r="E9" s="14"/>
      <c r="F9" s="15">
        <f t="shared" si="1"/>
        <v>3.9506172839506175</v>
      </c>
      <c r="G9" s="16"/>
      <c r="H9" s="16"/>
      <c r="I9" s="16"/>
      <c r="J9" s="17">
        <f t="shared" si="2"/>
        <v>3.9506172839506175</v>
      </c>
      <c r="K9" s="18"/>
      <c r="L9" s="18"/>
      <c r="M9" s="18"/>
    </row>
    <row r="10" spans="1:14" ht="15.75" x14ac:dyDescent="0.25">
      <c r="A10" s="21"/>
      <c r="B10" s="13">
        <f t="shared" si="0"/>
        <v>2.6337448559670782</v>
      </c>
      <c r="C10" s="14"/>
      <c r="D10" s="14"/>
      <c r="E10" s="14"/>
      <c r="F10" s="15">
        <f t="shared" si="1"/>
        <v>2.6337448559670782</v>
      </c>
      <c r="G10" s="16"/>
      <c r="H10" s="16"/>
      <c r="I10" s="16"/>
      <c r="J10" s="17">
        <f t="shared" si="2"/>
        <v>2.6337448559670782</v>
      </c>
      <c r="K10" s="18"/>
      <c r="L10" s="18"/>
      <c r="M10" s="18"/>
    </row>
    <row r="11" spans="1:14" ht="16.5" thickBot="1" x14ac:dyDescent="0.3">
      <c r="A11" s="22"/>
      <c r="B11" s="30" t="s">
        <v>104</v>
      </c>
      <c r="C11" s="31"/>
      <c r="D11" s="31"/>
      <c r="E11" s="31"/>
      <c r="F11" s="31" t="s">
        <v>98</v>
      </c>
      <c r="G11" s="31"/>
      <c r="H11" s="31"/>
      <c r="I11" s="31"/>
      <c r="J11" s="31" t="s">
        <v>105</v>
      </c>
      <c r="K11" s="31"/>
      <c r="L11" s="31"/>
      <c r="M11" s="32"/>
    </row>
    <row r="12" spans="1:14" ht="15.75" x14ac:dyDescent="0.25">
      <c r="A12" s="21"/>
    </row>
    <row r="18" spans="1:97" x14ac:dyDescent="0.25">
      <c r="A18" s="23" t="s">
        <v>0</v>
      </c>
      <c r="B18" s="23" t="s">
        <v>1</v>
      </c>
      <c r="C18" s="23" t="s">
        <v>2</v>
      </c>
      <c r="D18" s="23" t="s">
        <v>3</v>
      </c>
      <c r="E18" s="23" t="s">
        <v>4</v>
      </c>
      <c r="F18" s="23" t="s">
        <v>5</v>
      </c>
      <c r="G18" s="23" t="s">
        <v>6</v>
      </c>
      <c r="H18" s="23" t="s">
        <v>7</v>
      </c>
      <c r="I18" s="23" t="s">
        <v>8</v>
      </c>
      <c r="J18" s="23" t="s">
        <v>9</v>
      </c>
      <c r="K18" s="23" t="s">
        <v>10</v>
      </c>
      <c r="L18" s="23" t="s">
        <v>11</v>
      </c>
      <c r="M18" s="23" t="s">
        <v>12</v>
      </c>
      <c r="N18" s="23" t="s">
        <v>13</v>
      </c>
      <c r="O18" s="23" t="s">
        <v>14</v>
      </c>
      <c r="P18" s="23" t="s">
        <v>15</v>
      </c>
      <c r="Q18" s="23" t="s">
        <v>16</v>
      </c>
      <c r="R18" s="23" t="s">
        <v>17</v>
      </c>
      <c r="S18" s="23" t="s">
        <v>18</v>
      </c>
      <c r="T18" s="23" t="s">
        <v>19</v>
      </c>
      <c r="U18" s="23" t="s">
        <v>20</v>
      </c>
      <c r="V18" s="23" t="s">
        <v>21</v>
      </c>
      <c r="W18" s="23" t="s">
        <v>22</v>
      </c>
      <c r="X18" s="23" t="s">
        <v>23</v>
      </c>
      <c r="Y18" s="23" t="s">
        <v>24</v>
      </c>
      <c r="Z18" s="23" t="s">
        <v>25</v>
      </c>
      <c r="AA18" s="23" t="s">
        <v>26</v>
      </c>
      <c r="AB18" s="23" t="s">
        <v>27</v>
      </c>
      <c r="AC18" s="23" t="s">
        <v>28</v>
      </c>
      <c r="AD18" s="23" t="s">
        <v>29</v>
      </c>
      <c r="AE18" s="23" t="s">
        <v>30</v>
      </c>
      <c r="AF18" s="23" t="s">
        <v>31</v>
      </c>
      <c r="AG18" s="23" t="s">
        <v>32</v>
      </c>
      <c r="AH18" s="23" t="s">
        <v>33</v>
      </c>
      <c r="AI18" s="23" t="s">
        <v>34</v>
      </c>
      <c r="AJ18" s="23" t="s">
        <v>35</v>
      </c>
      <c r="AK18" s="23" t="s">
        <v>36</v>
      </c>
      <c r="AL18" s="23" t="s">
        <v>37</v>
      </c>
      <c r="AM18" s="23" t="s">
        <v>38</v>
      </c>
      <c r="AN18" s="23" t="s">
        <v>39</v>
      </c>
      <c r="AO18" s="23" t="s">
        <v>40</v>
      </c>
      <c r="AP18" s="23" t="s">
        <v>41</v>
      </c>
      <c r="AQ18" s="23" t="s">
        <v>42</v>
      </c>
      <c r="AR18" s="23" t="s">
        <v>43</v>
      </c>
      <c r="AS18" s="23" t="s">
        <v>44</v>
      </c>
      <c r="AT18" s="23" t="s">
        <v>45</v>
      </c>
      <c r="AU18" s="23" t="s">
        <v>46</v>
      </c>
      <c r="AV18" s="23" t="s">
        <v>47</v>
      </c>
      <c r="AW18" s="23" t="s">
        <v>48</v>
      </c>
      <c r="AX18" s="23" t="s">
        <v>49</v>
      </c>
      <c r="AY18" s="23" t="s">
        <v>50</v>
      </c>
      <c r="AZ18" s="23" t="s">
        <v>51</v>
      </c>
      <c r="BA18" s="23" t="s">
        <v>52</v>
      </c>
      <c r="BB18" s="23" t="s">
        <v>53</v>
      </c>
      <c r="BC18" s="23" t="s">
        <v>54</v>
      </c>
      <c r="BD18" s="23" t="s">
        <v>55</v>
      </c>
      <c r="BE18" s="23" t="s">
        <v>56</v>
      </c>
      <c r="BF18" s="23" t="s">
        <v>57</v>
      </c>
      <c r="BG18" s="23" t="s">
        <v>58</v>
      </c>
      <c r="BH18" s="23" t="s">
        <v>59</v>
      </c>
      <c r="BI18" s="23" t="s">
        <v>60</v>
      </c>
      <c r="BJ18" s="23" t="s">
        <v>61</v>
      </c>
      <c r="BK18" s="23" t="s">
        <v>62</v>
      </c>
      <c r="BL18" s="23" t="s">
        <v>63</v>
      </c>
      <c r="BM18" s="23" t="s">
        <v>64</v>
      </c>
      <c r="BN18" s="23" t="s">
        <v>65</v>
      </c>
      <c r="BO18" s="23" t="s">
        <v>66</v>
      </c>
      <c r="BP18" s="23" t="s">
        <v>67</v>
      </c>
      <c r="BQ18" s="23" t="s">
        <v>68</v>
      </c>
      <c r="BR18" s="23" t="s">
        <v>69</v>
      </c>
      <c r="BS18" s="23" t="s">
        <v>70</v>
      </c>
      <c r="BT18" s="23" t="s">
        <v>71</v>
      </c>
      <c r="BU18" s="23" t="s">
        <v>72</v>
      </c>
      <c r="BV18" s="23" t="s">
        <v>73</v>
      </c>
      <c r="BW18" s="23" t="s">
        <v>74</v>
      </c>
      <c r="BX18" s="23" t="s">
        <v>75</v>
      </c>
      <c r="BY18" s="23" t="s">
        <v>76</v>
      </c>
      <c r="BZ18" s="23" t="s">
        <v>77</v>
      </c>
      <c r="CA18" s="23" t="s">
        <v>78</v>
      </c>
      <c r="CB18" s="23" t="s">
        <v>79</v>
      </c>
      <c r="CC18" s="23" t="s">
        <v>80</v>
      </c>
      <c r="CD18" s="23" t="s">
        <v>81</v>
      </c>
      <c r="CE18" s="23" t="s">
        <v>82</v>
      </c>
      <c r="CF18" s="23" t="s">
        <v>83</v>
      </c>
      <c r="CG18" s="23" t="s">
        <v>84</v>
      </c>
      <c r="CH18" s="23" t="s">
        <v>85</v>
      </c>
      <c r="CI18" s="23" t="s">
        <v>86</v>
      </c>
      <c r="CJ18" s="23" t="s">
        <v>87</v>
      </c>
      <c r="CK18" s="23" t="s">
        <v>88</v>
      </c>
      <c r="CL18" s="23" t="s">
        <v>89</v>
      </c>
      <c r="CM18" s="23" t="s">
        <v>90</v>
      </c>
      <c r="CN18" s="23" t="s">
        <v>91</v>
      </c>
      <c r="CO18" s="23" t="s">
        <v>92</v>
      </c>
      <c r="CP18" s="23" t="s">
        <v>93</v>
      </c>
      <c r="CQ18" s="23" t="s">
        <v>94</v>
      </c>
      <c r="CR18" s="23" t="s">
        <v>95</v>
      </c>
      <c r="CS18" s="23" t="s">
        <v>96</v>
      </c>
    </row>
    <row r="19" spans="1:97" x14ac:dyDescent="0.25">
      <c r="A19" s="23">
        <v>403</v>
      </c>
      <c r="B19" s="24">
        <v>244445</v>
      </c>
      <c r="C19" s="24">
        <v>249040</v>
      </c>
      <c r="D19" s="24">
        <v>263235</v>
      </c>
      <c r="E19" s="24">
        <v>250174</v>
      </c>
      <c r="F19" s="24">
        <v>221773</v>
      </c>
      <c r="G19" s="24">
        <v>203015</v>
      </c>
      <c r="H19" s="24">
        <v>225643</v>
      </c>
      <c r="I19" s="24">
        <v>247958</v>
      </c>
      <c r="J19" s="24">
        <v>265804</v>
      </c>
      <c r="K19" s="24">
        <v>283645</v>
      </c>
      <c r="L19" s="24">
        <v>260982</v>
      </c>
      <c r="M19" s="24">
        <v>274306</v>
      </c>
      <c r="N19" s="24">
        <v>367525</v>
      </c>
      <c r="O19" s="24">
        <v>376512</v>
      </c>
      <c r="P19" s="24">
        <v>357283</v>
      </c>
      <c r="Q19" s="24">
        <v>338870</v>
      </c>
      <c r="R19" s="24">
        <v>308254</v>
      </c>
      <c r="S19" s="24">
        <v>382005</v>
      </c>
      <c r="T19" s="24">
        <v>348447</v>
      </c>
      <c r="U19" s="24">
        <v>303635</v>
      </c>
      <c r="V19" s="24">
        <v>323198</v>
      </c>
      <c r="W19" s="24">
        <v>331510</v>
      </c>
      <c r="X19" s="24">
        <v>332012</v>
      </c>
      <c r="Y19" s="24">
        <v>347524</v>
      </c>
      <c r="Z19" s="24">
        <v>373787</v>
      </c>
      <c r="AA19" s="24">
        <v>384673</v>
      </c>
      <c r="AB19" s="24">
        <v>365373</v>
      </c>
      <c r="AC19" s="24">
        <v>361006</v>
      </c>
      <c r="AD19" s="24">
        <v>347931</v>
      </c>
      <c r="AE19" s="24">
        <v>378567</v>
      </c>
      <c r="AF19" s="24">
        <v>410149</v>
      </c>
      <c r="AG19" s="24">
        <v>349218</v>
      </c>
      <c r="AH19" s="24">
        <v>346756</v>
      </c>
      <c r="AI19" s="24">
        <v>311611</v>
      </c>
      <c r="AJ19" s="24">
        <v>369467</v>
      </c>
      <c r="AK19" s="24">
        <v>368881</v>
      </c>
      <c r="AL19" s="24">
        <v>392662</v>
      </c>
      <c r="AM19" s="24">
        <v>406510</v>
      </c>
      <c r="AN19" s="24">
        <v>396924</v>
      </c>
      <c r="AO19" s="24">
        <v>372035</v>
      </c>
      <c r="AP19" s="24">
        <v>362617</v>
      </c>
      <c r="AQ19" s="24">
        <v>392678</v>
      </c>
      <c r="AR19" s="24">
        <v>404921</v>
      </c>
      <c r="AS19" s="24">
        <v>395101</v>
      </c>
      <c r="AT19" s="24">
        <v>368657</v>
      </c>
      <c r="AU19" s="24">
        <v>315486</v>
      </c>
      <c r="AV19" s="24">
        <v>384877</v>
      </c>
      <c r="AW19" s="24">
        <v>389729</v>
      </c>
      <c r="AX19" s="24">
        <v>394543</v>
      </c>
      <c r="AY19" s="24">
        <v>405031</v>
      </c>
      <c r="AZ19" s="24">
        <v>409447</v>
      </c>
      <c r="BA19" s="24">
        <v>392476</v>
      </c>
      <c r="BB19" s="24">
        <v>385931</v>
      </c>
      <c r="BC19" s="24">
        <v>383419</v>
      </c>
      <c r="BD19" s="24">
        <v>391532</v>
      </c>
      <c r="BE19" s="24">
        <v>375652</v>
      </c>
      <c r="BF19" s="24">
        <v>389974</v>
      </c>
      <c r="BG19" s="24">
        <v>401464</v>
      </c>
      <c r="BH19" s="24">
        <v>409215</v>
      </c>
      <c r="BI19" s="24">
        <v>396763</v>
      </c>
      <c r="BJ19" s="24">
        <v>405165</v>
      </c>
      <c r="BK19" s="24">
        <v>413712</v>
      </c>
      <c r="BL19" s="24">
        <v>411248</v>
      </c>
      <c r="BM19" s="24">
        <v>394141</v>
      </c>
      <c r="BN19" s="24">
        <v>401253</v>
      </c>
      <c r="BO19" s="24">
        <v>404032</v>
      </c>
      <c r="BP19" s="24">
        <v>386898</v>
      </c>
      <c r="BQ19" s="24">
        <v>403312</v>
      </c>
      <c r="BR19" s="24">
        <v>344957</v>
      </c>
      <c r="BS19" s="24">
        <v>409185</v>
      </c>
      <c r="BT19" s="24">
        <v>410392</v>
      </c>
      <c r="BU19" s="24">
        <v>405392</v>
      </c>
      <c r="BV19" s="24">
        <v>400575</v>
      </c>
      <c r="BW19" s="24">
        <v>411604</v>
      </c>
      <c r="BX19" s="24">
        <v>413560</v>
      </c>
      <c r="BY19" s="24">
        <v>420722</v>
      </c>
      <c r="BZ19" s="24">
        <v>410417</v>
      </c>
      <c r="CA19" s="24">
        <v>407860</v>
      </c>
      <c r="CB19" s="24">
        <v>410989</v>
      </c>
      <c r="CC19" s="24">
        <v>406664</v>
      </c>
      <c r="CD19" s="24">
        <v>409585</v>
      </c>
      <c r="CE19" s="24">
        <v>419254</v>
      </c>
      <c r="CF19" s="24">
        <v>337727</v>
      </c>
      <c r="CG19" s="24">
        <v>399412</v>
      </c>
      <c r="CH19" s="24">
        <v>411481</v>
      </c>
      <c r="CI19" s="24">
        <v>416498</v>
      </c>
      <c r="CJ19" s="24">
        <v>426008</v>
      </c>
      <c r="CK19" s="24">
        <v>415702</v>
      </c>
      <c r="CL19" s="24">
        <v>206788</v>
      </c>
      <c r="CM19" s="24">
        <v>200832</v>
      </c>
      <c r="CN19" s="24">
        <v>209794</v>
      </c>
      <c r="CO19" s="24">
        <v>424408</v>
      </c>
      <c r="CP19" s="24">
        <v>164349</v>
      </c>
      <c r="CQ19" s="24">
        <v>163990</v>
      </c>
      <c r="CR19" s="24">
        <v>166762</v>
      </c>
      <c r="CS19" s="24">
        <v>165049</v>
      </c>
    </row>
    <row r="20" spans="1:97" x14ac:dyDescent="0.25">
      <c r="A20" s="23">
        <v>460</v>
      </c>
      <c r="B20" s="24">
        <v>568415</v>
      </c>
      <c r="C20" s="24">
        <v>531784</v>
      </c>
      <c r="D20" s="24">
        <v>503896</v>
      </c>
      <c r="E20" s="24">
        <v>479647</v>
      </c>
      <c r="F20" s="24">
        <v>585466</v>
      </c>
      <c r="G20" s="24">
        <v>536706</v>
      </c>
      <c r="H20" s="24">
        <v>513371</v>
      </c>
      <c r="I20" s="24">
        <v>561109</v>
      </c>
      <c r="J20" s="24">
        <v>502627</v>
      </c>
      <c r="K20" s="24">
        <v>533224</v>
      </c>
      <c r="L20" s="24">
        <v>535334</v>
      </c>
      <c r="M20" s="24">
        <v>572998</v>
      </c>
      <c r="N20" s="24">
        <v>365590</v>
      </c>
      <c r="O20" s="24">
        <v>369410</v>
      </c>
      <c r="P20" s="24">
        <v>379337</v>
      </c>
      <c r="Q20" s="24">
        <v>360988</v>
      </c>
      <c r="R20" s="24">
        <v>430768</v>
      </c>
      <c r="S20" s="24">
        <v>560743</v>
      </c>
      <c r="T20" s="24">
        <v>520145</v>
      </c>
      <c r="U20" s="24">
        <v>457612</v>
      </c>
      <c r="V20" s="24">
        <v>409584</v>
      </c>
      <c r="W20" s="24">
        <v>417552</v>
      </c>
      <c r="X20" s="24">
        <v>410973</v>
      </c>
      <c r="Y20" s="24">
        <v>431356</v>
      </c>
      <c r="Z20" s="24">
        <v>339541</v>
      </c>
      <c r="AA20" s="24">
        <v>348041</v>
      </c>
      <c r="AB20" s="24">
        <v>353424</v>
      </c>
      <c r="AC20" s="24">
        <v>345117</v>
      </c>
      <c r="AD20" s="24">
        <v>392504</v>
      </c>
      <c r="AE20" s="24">
        <v>438916</v>
      </c>
      <c r="AF20" s="24">
        <v>475457</v>
      </c>
      <c r="AG20" s="24">
        <v>403929</v>
      </c>
      <c r="AH20" s="24">
        <v>367318</v>
      </c>
      <c r="AI20" s="24">
        <v>329935</v>
      </c>
      <c r="AJ20" s="24">
        <v>387050</v>
      </c>
      <c r="AK20" s="24">
        <v>389352</v>
      </c>
      <c r="AL20" s="24">
        <v>342755</v>
      </c>
      <c r="AM20" s="24">
        <v>351545</v>
      </c>
      <c r="AN20" s="24">
        <v>353346</v>
      </c>
      <c r="AO20" s="24">
        <v>332935</v>
      </c>
      <c r="AP20" s="24">
        <v>363430</v>
      </c>
      <c r="AQ20" s="24">
        <v>394071</v>
      </c>
      <c r="AR20" s="24">
        <v>409142</v>
      </c>
      <c r="AS20" s="24">
        <v>402282</v>
      </c>
      <c r="AT20" s="24">
        <v>351721</v>
      </c>
      <c r="AU20" s="24">
        <v>301507</v>
      </c>
      <c r="AV20" s="24">
        <v>362531</v>
      </c>
      <c r="AW20" s="24">
        <v>367837</v>
      </c>
      <c r="AX20" s="24">
        <v>331462</v>
      </c>
      <c r="AY20" s="24">
        <v>341254</v>
      </c>
      <c r="AZ20" s="24">
        <v>349924</v>
      </c>
      <c r="BA20" s="24">
        <v>336597</v>
      </c>
      <c r="BB20" s="24">
        <v>351872</v>
      </c>
      <c r="BC20" s="24">
        <v>344188</v>
      </c>
      <c r="BD20" s="24">
        <v>357327</v>
      </c>
      <c r="BE20" s="24">
        <v>340676</v>
      </c>
      <c r="BF20" s="24">
        <v>343898</v>
      </c>
      <c r="BG20" s="24">
        <v>354670</v>
      </c>
      <c r="BH20" s="24">
        <v>360452</v>
      </c>
      <c r="BI20" s="24">
        <v>352242</v>
      </c>
      <c r="BJ20" s="24">
        <v>331993</v>
      </c>
      <c r="BK20" s="24">
        <v>341995</v>
      </c>
      <c r="BL20" s="24">
        <v>341437</v>
      </c>
      <c r="BM20" s="24">
        <v>328262</v>
      </c>
      <c r="BN20" s="24">
        <v>344025</v>
      </c>
      <c r="BO20" s="24">
        <v>347549</v>
      </c>
      <c r="BP20" s="24">
        <v>329204</v>
      </c>
      <c r="BQ20" s="24">
        <v>346317</v>
      </c>
      <c r="BR20" s="24">
        <v>287868</v>
      </c>
      <c r="BS20" s="24">
        <v>348744</v>
      </c>
      <c r="BT20" s="24">
        <v>347140</v>
      </c>
      <c r="BU20" s="24">
        <v>345578</v>
      </c>
      <c r="BV20" s="24">
        <v>326184</v>
      </c>
      <c r="BW20" s="24">
        <v>336050</v>
      </c>
      <c r="BX20" s="24">
        <v>339198</v>
      </c>
      <c r="BY20" s="24">
        <v>342490</v>
      </c>
      <c r="BZ20" s="24">
        <v>342605</v>
      </c>
      <c r="CA20" s="24">
        <v>339254</v>
      </c>
      <c r="CB20" s="24">
        <v>345426</v>
      </c>
      <c r="CC20" s="24">
        <v>343783</v>
      </c>
      <c r="CD20" s="24">
        <v>342076</v>
      </c>
      <c r="CE20" s="24">
        <v>347398</v>
      </c>
      <c r="CF20" s="24">
        <v>278626</v>
      </c>
      <c r="CG20" s="24">
        <v>343617</v>
      </c>
      <c r="CH20" s="24">
        <v>324826</v>
      </c>
      <c r="CI20" s="24">
        <v>329225</v>
      </c>
      <c r="CJ20" s="24">
        <v>333760</v>
      </c>
      <c r="CK20" s="24">
        <v>325448</v>
      </c>
      <c r="CL20" s="28" t="s">
        <v>110</v>
      </c>
      <c r="CM20" s="24">
        <v>680862</v>
      </c>
      <c r="CN20" s="28" t="s">
        <v>110</v>
      </c>
      <c r="CO20" s="24">
        <v>359513</v>
      </c>
      <c r="CP20" s="24">
        <v>582567</v>
      </c>
      <c r="CQ20" s="24">
        <v>578979</v>
      </c>
      <c r="CR20" s="24">
        <v>597723</v>
      </c>
      <c r="CS20" s="24">
        <v>593452</v>
      </c>
    </row>
    <row r="21" spans="1:97" x14ac:dyDescent="0.25">
      <c r="A21" t="s">
        <v>97</v>
      </c>
      <c r="B21">
        <f>B20/B19</f>
        <v>2.3253288060708952</v>
      </c>
      <c r="C21">
        <f t="shared" ref="C21:AB21" si="3">C20/C19</f>
        <v>2.1353356890459363</v>
      </c>
      <c r="D21">
        <f t="shared" si="3"/>
        <v>1.9142439265295268</v>
      </c>
      <c r="E21">
        <f t="shared" si="3"/>
        <v>1.9172535915003157</v>
      </c>
      <c r="F21">
        <f t="shared" si="3"/>
        <v>2.6399336258246042</v>
      </c>
      <c r="G21">
        <f t="shared" si="3"/>
        <v>2.6436765756224911</v>
      </c>
      <c r="H21">
        <f t="shared" si="3"/>
        <v>2.2751470242817193</v>
      </c>
      <c r="I21">
        <f t="shared" si="3"/>
        <v>2.262919526694037</v>
      </c>
      <c r="J21">
        <f t="shared" si="3"/>
        <v>1.890968533204918</v>
      </c>
      <c r="K21">
        <f t="shared" si="3"/>
        <v>1.8798991697368188</v>
      </c>
      <c r="L21">
        <f t="shared" si="3"/>
        <v>2.0512295867147925</v>
      </c>
      <c r="M21">
        <f t="shared" si="3"/>
        <v>2.0889007167178262</v>
      </c>
      <c r="N21">
        <f t="shared" si="3"/>
        <v>0.99473505203727641</v>
      </c>
      <c r="O21">
        <f t="shared" si="3"/>
        <v>0.98113738738738743</v>
      </c>
      <c r="P21">
        <f t="shared" si="3"/>
        <v>1.0617269783337018</v>
      </c>
      <c r="Q21">
        <f t="shared" si="3"/>
        <v>1.0652698675008114</v>
      </c>
      <c r="R21">
        <f t="shared" si="3"/>
        <v>1.3974449642178204</v>
      </c>
      <c r="S21">
        <f t="shared" si="3"/>
        <v>1.4678943992879674</v>
      </c>
      <c r="T21">
        <f t="shared" si="3"/>
        <v>1.4927521258613219</v>
      </c>
      <c r="U21">
        <f t="shared" si="3"/>
        <v>1.5071121576893309</v>
      </c>
      <c r="V21">
        <f t="shared" si="3"/>
        <v>1.2672850698333529</v>
      </c>
      <c r="W21">
        <f t="shared" si="3"/>
        <v>1.2595457150613858</v>
      </c>
      <c r="X21">
        <f t="shared" si="3"/>
        <v>1.2378257412382685</v>
      </c>
      <c r="Y21">
        <f t="shared" si="3"/>
        <v>1.2412265052197833</v>
      </c>
      <c r="Z21">
        <f t="shared" si="3"/>
        <v>0.9083809763314401</v>
      </c>
      <c r="AA21">
        <f t="shared" si="3"/>
        <v>0.90477106529441886</v>
      </c>
      <c r="AB21">
        <f t="shared" si="3"/>
        <v>0.96729643405506149</v>
      </c>
      <c r="AC21">
        <f>AC20/AC19</f>
        <v>0.95598688110446917</v>
      </c>
      <c r="AD21">
        <f t="shared" ref="AD21:AN21" si="4">AD20/AD19</f>
        <v>1.128108734203046</v>
      </c>
      <c r="AE21">
        <f t="shared" si="4"/>
        <v>1.1594143176769238</v>
      </c>
      <c r="AF21">
        <f t="shared" si="4"/>
        <v>1.1592299383882443</v>
      </c>
      <c r="AG21">
        <f t="shared" si="4"/>
        <v>1.1566671821040153</v>
      </c>
      <c r="AH21">
        <f t="shared" si="4"/>
        <v>1.0592981808533954</v>
      </c>
      <c r="AI21">
        <f t="shared" si="4"/>
        <v>1.0588040858634644</v>
      </c>
      <c r="AJ21">
        <f t="shared" si="4"/>
        <v>1.0475901772012115</v>
      </c>
      <c r="AK21">
        <f t="shared" si="4"/>
        <v>1.0554948614864956</v>
      </c>
      <c r="AL21">
        <f t="shared" si="4"/>
        <v>0.87290086639399789</v>
      </c>
      <c r="AM21">
        <f t="shared" si="4"/>
        <v>0.86478807409411818</v>
      </c>
      <c r="AN21">
        <f t="shared" si="4"/>
        <v>0.89021072044018501</v>
      </c>
      <c r="AO21">
        <f>AO20/AO19</f>
        <v>0.89490236133697099</v>
      </c>
      <c r="AP21">
        <f t="shared" ref="AP21:BG21" si="5">AP20/AP19</f>
        <v>1.0022420349845704</v>
      </c>
      <c r="AQ21">
        <f t="shared" si="5"/>
        <v>1.0035474358125487</v>
      </c>
      <c r="AR21">
        <f t="shared" si="5"/>
        <v>1.0104242555955358</v>
      </c>
      <c r="AS21">
        <f t="shared" si="5"/>
        <v>1.0181750995315122</v>
      </c>
      <c r="AT21">
        <f t="shared" si="5"/>
        <v>0.95406027825322726</v>
      </c>
      <c r="AU21">
        <f t="shared" si="5"/>
        <v>0.9556905853191584</v>
      </c>
      <c r="AV21">
        <f t="shared" si="5"/>
        <v>0.94193989248513166</v>
      </c>
      <c r="AW21">
        <f t="shared" si="5"/>
        <v>0.94382763407393344</v>
      </c>
      <c r="AX21">
        <f t="shared" si="5"/>
        <v>0.84011628643772673</v>
      </c>
      <c r="AY21">
        <f t="shared" si="5"/>
        <v>0.84253797857447943</v>
      </c>
      <c r="AZ21">
        <f t="shared" si="5"/>
        <v>0.85462587343416851</v>
      </c>
      <c r="BA21">
        <f t="shared" si="5"/>
        <v>0.85762441525086885</v>
      </c>
      <c r="BB21">
        <f t="shared" si="5"/>
        <v>0.91174847317266561</v>
      </c>
      <c r="BC21">
        <f t="shared" si="5"/>
        <v>0.89768112691337676</v>
      </c>
      <c r="BD21">
        <f t="shared" si="5"/>
        <v>0.91263804746483046</v>
      </c>
      <c r="BE21">
        <f t="shared" si="5"/>
        <v>0.90689254948729148</v>
      </c>
      <c r="BF21">
        <f t="shared" si="5"/>
        <v>0.88184853349197634</v>
      </c>
      <c r="BG21">
        <f t="shared" si="5"/>
        <v>0.88344160373034697</v>
      </c>
      <c r="BH21">
        <f>BH20/BH19</f>
        <v>0.88083770145278151</v>
      </c>
      <c r="BI21">
        <f t="shared" ref="BI21:CC21" si="6">BI20/BI19</f>
        <v>0.88778943601091831</v>
      </c>
      <c r="BJ21">
        <f t="shared" si="6"/>
        <v>0.81940197203608411</v>
      </c>
      <c r="BK21">
        <f t="shared" si="6"/>
        <v>0.82664994005491743</v>
      </c>
      <c r="BL21">
        <f t="shared" si="6"/>
        <v>0.83024598295918761</v>
      </c>
      <c r="BM21">
        <f t="shared" si="6"/>
        <v>0.83285423236861933</v>
      </c>
      <c r="BN21">
        <f t="shared" si="6"/>
        <v>0.85737676727650636</v>
      </c>
      <c r="BO21">
        <f t="shared" si="6"/>
        <v>0.86020166719467761</v>
      </c>
      <c r="BP21">
        <f t="shared" si="6"/>
        <v>0.85088059385160952</v>
      </c>
      <c r="BQ21">
        <f t="shared" si="6"/>
        <v>0.85868260800571272</v>
      </c>
      <c r="BR21">
        <f t="shared" si="6"/>
        <v>0.83450401064480495</v>
      </c>
      <c r="BS21">
        <f t="shared" si="6"/>
        <v>0.85228930679277104</v>
      </c>
      <c r="BT21">
        <f t="shared" si="6"/>
        <v>0.84587418858067409</v>
      </c>
      <c r="BU21">
        <f t="shared" si="6"/>
        <v>0.85245392114299245</v>
      </c>
      <c r="BV21">
        <f t="shared" si="6"/>
        <v>0.81428945890282722</v>
      </c>
      <c r="BW21">
        <f t="shared" si="6"/>
        <v>0.81644007346867375</v>
      </c>
      <c r="BX21">
        <f t="shared" si="6"/>
        <v>0.82019054067124475</v>
      </c>
      <c r="BY21">
        <f t="shared" si="6"/>
        <v>0.81405298510655488</v>
      </c>
      <c r="BZ21">
        <f t="shared" si="6"/>
        <v>0.83477292607275044</v>
      </c>
      <c r="CA21">
        <f t="shared" si="6"/>
        <v>0.83179032020791444</v>
      </c>
      <c r="CB21">
        <f t="shared" si="6"/>
        <v>0.84047504921056282</v>
      </c>
      <c r="CC21">
        <f t="shared" si="6"/>
        <v>0.84537357622017195</v>
      </c>
      <c r="CD21">
        <f>CD20/CD19</f>
        <v>0.83517706947275905</v>
      </c>
      <c r="CE21">
        <f t="shared" ref="CE21:CS21" si="7">CE20/CE19</f>
        <v>0.82860986418734228</v>
      </c>
      <c r="CF21">
        <f t="shared" si="7"/>
        <v>0.82500362719000853</v>
      </c>
      <c r="CG21">
        <f t="shared" si="7"/>
        <v>0.86030715151272374</v>
      </c>
      <c r="CH21">
        <f t="shared" si="7"/>
        <v>0.78940704431067288</v>
      </c>
      <c r="CI21">
        <f t="shared" si="7"/>
        <v>0.79045997819917502</v>
      </c>
      <c r="CJ21">
        <f t="shared" si="7"/>
        <v>0.78345946554994272</v>
      </c>
      <c r="CK21">
        <f t="shared" si="7"/>
        <v>0.78288774169958286</v>
      </c>
      <c r="CL21" t="e">
        <f t="shared" si="7"/>
        <v>#VALUE!</v>
      </c>
      <c r="CM21">
        <f t="shared" si="7"/>
        <v>3.390206739961759</v>
      </c>
      <c r="CN21" t="e">
        <f t="shared" si="7"/>
        <v>#VALUE!</v>
      </c>
      <c r="CO21">
        <f t="shared" si="7"/>
        <v>0.8470928917456787</v>
      </c>
      <c r="CP21">
        <f t="shared" si="7"/>
        <v>3.5446945220232555</v>
      </c>
      <c r="CQ21">
        <f t="shared" si="7"/>
        <v>3.5305750350631135</v>
      </c>
      <c r="CR21">
        <f t="shared" si="7"/>
        <v>3.5842877873856156</v>
      </c>
      <c r="CS21">
        <f t="shared" si="7"/>
        <v>3.5956110003695874</v>
      </c>
    </row>
    <row r="23" spans="1:97" x14ac:dyDescent="0.25">
      <c r="A23" s="9" t="s">
        <v>101</v>
      </c>
    </row>
    <row r="24" spans="1:9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</row>
    <row r="25" spans="1:97" ht="15.75" x14ac:dyDescent="0.25">
      <c r="A25" s="2"/>
      <c r="B25" s="3">
        <f>B21</f>
        <v>2.3253288060708952</v>
      </c>
      <c r="C25" s="3">
        <f t="shared" ref="C25:E25" si="8">C21</f>
        <v>2.1353356890459363</v>
      </c>
      <c r="D25" s="3">
        <f t="shared" si="8"/>
        <v>1.9142439265295268</v>
      </c>
      <c r="E25" s="3">
        <f t="shared" si="8"/>
        <v>1.9172535915003157</v>
      </c>
      <c r="F25" s="4">
        <f>F21</f>
        <v>2.6399336258246042</v>
      </c>
      <c r="G25" s="4">
        <f t="shared" ref="G25:I25" si="9">G21</f>
        <v>2.6436765756224911</v>
      </c>
      <c r="H25" s="4">
        <f t="shared" si="9"/>
        <v>2.2751470242817193</v>
      </c>
      <c r="I25" s="4">
        <f t="shared" si="9"/>
        <v>2.262919526694037</v>
      </c>
      <c r="J25" s="5">
        <f>J21</f>
        <v>1.890968533204918</v>
      </c>
      <c r="K25" s="5">
        <f t="shared" ref="K25:M25" si="10">K21</f>
        <v>1.8798991697368188</v>
      </c>
      <c r="L25" s="5">
        <f t="shared" si="10"/>
        <v>2.0512295867147925</v>
      </c>
      <c r="M25" s="5">
        <f t="shared" si="10"/>
        <v>2.0889007167178262</v>
      </c>
    </row>
    <row r="26" spans="1:97" ht="15.75" x14ac:dyDescent="0.25">
      <c r="A26" s="2"/>
      <c r="B26" s="3">
        <f>N21</f>
        <v>0.99473505203727641</v>
      </c>
      <c r="C26" s="3">
        <f t="shared" ref="C26:E26" si="11">O21</f>
        <v>0.98113738738738743</v>
      </c>
      <c r="D26" s="3">
        <f t="shared" si="11"/>
        <v>1.0617269783337018</v>
      </c>
      <c r="E26" s="3">
        <f t="shared" si="11"/>
        <v>1.0652698675008114</v>
      </c>
      <c r="F26" s="4">
        <f>R21</f>
        <v>1.3974449642178204</v>
      </c>
      <c r="G26" s="4">
        <f t="shared" ref="G26:I26" si="12">S21</f>
        <v>1.4678943992879674</v>
      </c>
      <c r="H26" s="4">
        <f t="shared" si="12"/>
        <v>1.4927521258613219</v>
      </c>
      <c r="I26" s="4">
        <f t="shared" si="12"/>
        <v>1.5071121576893309</v>
      </c>
      <c r="J26" s="5">
        <f>V21</f>
        <v>1.2672850698333529</v>
      </c>
      <c r="K26" s="5">
        <f t="shared" ref="K26:M26" si="13">W21</f>
        <v>1.2595457150613858</v>
      </c>
      <c r="L26" s="5">
        <f t="shared" si="13"/>
        <v>1.2378257412382685</v>
      </c>
      <c r="M26" s="5">
        <f t="shared" si="13"/>
        <v>1.2412265052197833</v>
      </c>
      <c r="Q26">
        <v>56</v>
      </c>
      <c r="T26">
        <v>57</v>
      </c>
      <c r="W26" t="s">
        <v>103</v>
      </c>
    </row>
    <row r="27" spans="1:97" ht="15.75" x14ac:dyDescent="0.25">
      <c r="A27" s="2"/>
      <c r="B27" s="3">
        <f>Z21</f>
        <v>0.9083809763314401</v>
      </c>
      <c r="C27" s="3">
        <f t="shared" ref="C27:E27" si="14">AA21</f>
        <v>0.90477106529441886</v>
      </c>
      <c r="D27" s="3">
        <f t="shared" si="14"/>
        <v>0.96729643405506149</v>
      </c>
      <c r="E27" s="3">
        <f t="shared" si="14"/>
        <v>0.95598688110446917</v>
      </c>
      <c r="F27" s="4">
        <f>AD21</f>
        <v>1.128108734203046</v>
      </c>
      <c r="G27" s="4">
        <f t="shared" ref="G27:I27" si="15">AE21</f>
        <v>1.1594143176769238</v>
      </c>
      <c r="H27" s="4">
        <f t="shared" si="15"/>
        <v>1.1592299383882443</v>
      </c>
      <c r="I27" s="4">
        <f t="shared" si="15"/>
        <v>1.1566671821040153</v>
      </c>
      <c r="J27" s="5">
        <f>AH21</f>
        <v>1.0592981808533954</v>
      </c>
      <c r="K27" s="5">
        <f t="shared" ref="K27:M27" si="16">AI21</f>
        <v>1.0588040858634644</v>
      </c>
      <c r="L27" s="5">
        <f t="shared" si="16"/>
        <v>1.0475901772012115</v>
      </c>
      <c r="M27" s="5">
        <f t="shared" si="16"/>
        <v>1.0554948614864956</v>
      </c>
      <c r="Q27" t="s">
        <v>107</v>
      </c>
      <c r="R27" t="s">
        <v>108</v>
      </c>
      <c r="S27" t="s">
        <v>109</v>
      </c>
      <c r="T27" t="s">
        <v>107</v>
      </c>
      <c r="U27" t="s">
        <v>108</v>
      </c>
      <c r="V27" t="s">
        <v>109</v>
      </c>
      <c r="W27" t="s">
        <v>107</v>
      </c>
      <c r="X27" t="s">
        <v>108</v>
      </c>
      <c r="Y27" t="s">
        <v>109</v>
      </c>
    </row>
    <row r="28" spans="1:97" ht="15.75" x14ac:dyDescent="0.25">
      <c r="A28" s="2"/>
      <c r="B28" s="3">
        <f>AL21</f>
        <v>0.87290086639399789</v>
      </c>
      <c r="C28" s="3">
        <f t="shared" ref="C28:E28" si="17">AM21</f>
        <v>0.86478807409411818</v>
      </c>
      <c r="D28" s="3">
        <f t="shared" si="17"/>
        <v>0.89021072044018501</v>
      </c>
      <c r="E28" s="3">
        <f t="shared" si="17"/>
        <v>0.89490236133697099</v>
      </c>
      <c r="F28" s="4">
        <f>AP21</f>
        <v>1.0022420349845704</v>
      </c>
      <c r="G28" s="4">
        <f t="shared" ref="G28:I28" si="18">AQ21</f>
        <v>1.0035474358125487</v>
      </c>
      <c r="H28" s="4">
        <f t="shared" si="18"/>
        <v>1.0104242555955358</v>
      </c>
      <c r="I28" s="4">
        <f t="shared" si="18"/>
        <v>1.0181750995315122</v>
      </c>
      <c r="J28" s="5">
        <f>AT21</f>
        <v>0.95406027825322726</v>
      </c>
      <c r="K28" s="5">
        <f t="shared" ref="K28:M28" si="19">AU21</f>
        <v>0.9556905853191584</v>
      </c>
      <c r="L28" s="5">
        <f t="shared" si="19"/>
        <v>0.94193989248513166</v>
      </c>
      <c r="M28" s="5">
        <f t="shared" si="19"/>
        <v>0.94382763407393344</v>
      </c>
      <c r="Q28">
        <v>30</v>
      </c>
      <c r="R28">
        <f>AVERAGE(B40:E40)</f>
        <v>46.908910826593925</v>
      </c>
      <c r="S28">
        <f>STDEV(B40:E40)</f>
        <v>7.2013173260927799</v>
      </c>
      <c r="T28">
        <v>30</v>
      </c>
      <c r="U28">
        <f t="shared" ref="U28:U34" si="20">AVERAGE(F40:J40)</f>
        <v>56.735216940018859</v>
      </c>
      <c r="V28">
        <f>STDEV(F40:J40)</f>
        <v>11.442642142781919</v>
      </c>
      <c r="W28">
        <v>30</v>
      </c>
      <c r="X28">
        <f t="shared" ref="X28:X34" si="21">AVERAGE(K40:M40)</f>
        <v>44.489093399102046</v>
      </c>
      <c r="Y28">
        <f>STDEV(K40:M40)</f>
        <v>4.0618221382654074</v>
      </c>
    </row>
    <row r="29" spans="1:97" ht="15.75" x14ac:dyDescent="0.25">
      <c r="A29" s="2"/>
      <c r="B29" s="3">
        <f>AX21</f>
        <v>0.84011628643772673</v>
      </c>
      <c r="C29" s="3">
        <f t="shared" ref="C29:E29" si="22">AY21</f>
        <v>0.84253797857447943</v>
      </c>
      <c r="D29" s="3">
        <f t="shared" si="22"/>
        <v>0.85462587343416851</v>
      </c>
      <c r="E29" s="3">
        <f t="shared" si="22"/>
        <v>0.85762441525086885</v>
      </c>
      <c r="F29" s="4">
        <f>BB21</f>
        <v>0.91174847317266561</v>
      </c>
      <c r="G29" s="4">
        <f t="shared" ref="G29:I29" si="23">BC21</f>
        <v>0.89768112691337676</v>
      </c>
      <c r="H29" s="4">
        <f t="shared" si="23"/>
        <v>0.91263804746483046</v>
      </c>
      <c r="I29" s="4">
        <f t="shared" si="23"/>
        <v>0.90689254948729148</v>
      </c>
      <c r="J29" s="5">
        <f>BF21</f>
        <v>0.88184853349197634</v>
      </c>
      <c r="K29" s="5">
        <f t="shared" ref="K29:M29" si="24">BG21</f>
        <v>0.88344160373034697</v>
      </c>
      <c r="L29" s="5">
        <f t="shared" si="24"/>
        <v>0.88083770145278151</v>
      </c>
      <c r="M29" s="5">
        <f t="shared" si="24"/>
        <v>0.88778943601091831</v>
      </c>
      <c r="Q29">
        <v>20</v>
      </c>
      <c r="R29">
        <f>AVERAGE(B41:E41)</f>
        <v>8.7205794888014427</v>
      </c>
      <c r="S29">
        <f t="shared" ref="S29:S34" si="25">STDEV(B41:E41)</f>
        <v>1.6044142324739681</v>
      </c>
      <c r="T29">
        <v>20</v>
      </c>
      <c r="U29">
        <f>AVERAGE(F41:J41)</f>
        <v>23.334154185613087</v>
      </c>
      <c r="V29">
        <f t="shared" ref="V29:V34" si="26">STDEV(F41:J41)</f>
        <v>3.5909259202544557</v>
      </c>
      <c r="W29">
        <v>20</v>
      </c>
      <c r="X29">
        <f>AVERAGE(K41:M41)</f>
        <v>16.759969606471035</v>
      </c>
      <c r="Y29">
        <f t="shared" ref="Y29:Y34" si="27">STDEV(K41:M41)</f>
        <v>0.42598469328121902</v>
      </c>
    </row>
    <row r="30" spans="1:97" ht="15.75" x14ac:dyDescent="0.25">
      <c r="A30" s="6"/>
      <c r="B30" s="3">
        <f>BJ21</f>
        <v>0.81940197203608411</v>
      </c>
      <c r="C30" s="3">
        <f t="shared" ref="C30:E30" si="28">BK21</f>
        <v>0.82664994005491743</v>
      </c>
      <c r="D30" s="3">
        <f t="shared" si="28"/>
        <v>0.83024598295918761</v>
      </c>
      <c r="E30" s="3">
        <f t="shared" si="28"/>
        <v>0.83285423236861933</v>
      </c>
      <c r="F30" s="4">
        <f>BN21</f>
        <v>0.85737676727650636</v>
      </c>
      <c r="G30" s="4">
        <f t="shared" ref="G30:I30" si="29">BO21</f>
        <v>0.86020166719467761</v>
      </c>
      <c r="H30" s="4">
        <f t="shared" si="29"/>
        <v>0.85088059385160952</v>
      </c>
      <c r="I30" s="4">
        <f t="shared" si="29"/>
        <v>0.85868260800571272</v>
      </c>
      <c r="J30" s="5">
        <f>BR21</f>
        <v>0.83450401064480495</v>
      </c>
      <c r="K30" s="5">
        <f t="shared" ref="K30:M30" si="30">BS21</f>
        <v>0.85228930679277104</v>
      </c>
      <c r="L30" s="5">
        <f t="shared" si="30"/>
        <v>0.84587418858067409</v>
      </c>
      <c r="M30" s="5">
        <f t="shared" si="30"/>
        <v>0.85245392114299245</v>
      </c>
      <c r="Q30">
        <v>13.333333333333334</v>
      </c>
      <c r="R30">
        <f>AVERAGE(B42:E42)</f>
        <v>5.3802781102863309</v>
      </c>
      <c r="S30">
        <f t="shared" si="25"/>
        <v>1.1726239128983427</v>
      </c>
      <c r="T30">
        <v>13.333333333333334</v>
      </c>
      <c r="U30">
        <f t="shared" si="20"/>
        <v>12.615766852221219</v>
      </c>
      <c r="V30">
        <f t="shared" si="26"/>
        <v>1.5683986211277243</v>
      </c>
      <c r="W30">
        <v>13.333333333333334</v>
      </c>
      <c r="X30">
        <f t="shared" si="21"/>
        <v>9.7504974172175078</v>
      </c>
      <c r="Y30">
        <f t="shared" si="27"/>
        <v>0.21008960278072059</v>
      </c>
    </row>
    <row r="31" spans="1:97" ht="16.5" thickBot="1" x14ac:dyDescent="0.3">
      <c r="A31" s="7"/>
      <c r="B31" s="3">
        <f>BV21</f>
        <v>0.81428945890282722</v>
      </c>
      <c r="C31" s="3">
        <f t="shared" ref="C31:E31" si="31">BW21</f>
        <v>0.81644007346867375</v>
      </c>
      <c r="D31" s="3">
        <f t="shared" si="31"/>
        <v>0.82019054067124475</v>
      </c>
      <c r="E31" s="3">
        <f t="shared" si="31"/>
        <v>0.81405298510655488</v>
      </c>
      <c r="F31" s="4">
        <f>BZ21</f>
        <v>0.83477292607275044</v>
      </c>
      <c r="G31" s="4">
        <f t="shared" ref="G31:I31" si="32">CA21</f>
        <v>0.83179032020791444</v>
      </c>
      <c r="H31" s="4">
        <f t="shared" si="32"/>
        <v>0.84047504921056282</v>
      </c>
      <c r="I31" s="4">
        <f t="shared" si="32"/>
        <v>0.84537357622017195</v>
      </c>
      <c r="J31" s="5">
        <f>CD21</f>
        <v>0.83517706947275905</v>
      </c>
      <c r="K31" s="5">
        <f t="shared" ref="K31:M31" si="33">CE21</f>
        <v>0.82860986418734228</v>
      </c>
      <c r="L31" s="5">
        <f t="shared" si="33"/>
        <v>0.82500362719000853</v>
      </c>
      <c r="M31" s="5">
        <f t="shared" si="33"/>
        <v>0.86030715151272374</v>
      </c>
      <c r="Q31">
        <v>8.8888888888888893</v>
      </c>
      <c r="R31">
        <f t="shared" ref="R31:R34" si="34">AVERAGE(B43:E43)</f>
        <v>3.4328609462521449</v>
      </c>
      <c r="S31">
        <f t="shared" si="25"/>
        <v>0.51830926525482302</v>
      </c>
      <c r="T31">
        <v>8.8888888888888893</v>
      </c>
      <c r="U31">
        <f t="shared" si="20"/>
        <v>7.6986184615862783</v>
      </c>
      <c r="V31">
        <f>STDEV(F43:J43)</f>
        <v>0.91890292534101914</v>
      </c>
      <c r="W31">
        <v>8.8888888888888893</v>
      </c>
      <c r="X31">
        <f t="shared" si="21"/>
        <v>5.855893887795669</v>
      </c>
      <c r="Y31">
        <f t="shared" si="27"/>
        <v>0.27179451077484307</v>
      </c>
    </row>
    <row r="32" spans="1:97" x14ac:dyDescent="0.25">
      <c r="A32" s="1"/>
      <c r="B32" s="3">
        <f>CH21</f>
        <v>0.78940704431067288</v>
      </c>
      <c r="C32" s="3">
        <f t="shared" ref="C32:E32" si="35">CI21</f>
        <v>0.79045997819917502</v>
      </c>
      <c r="D32" s="3">
        <f t="shared" si="35"/>
        <v>0.78345946554994272</v>
      </c>
      <c r="E32" s="3">
        <f t="shared" si="35"/>
        <v>0.78288774169958286</v>
      </c>
      <c r="F32" s="4" t="e">
        <f>CL21</f>
        <v>#VALUE!</v>
      </c>
      <c r="G32" s="4">
        <f t="shared" ref="G32:I32" si="36">CM21</f>
        <v>3.390206739961759</v>
      </c>
      <c r="H32" s="4" t="e">
        <f t="shared" si="36"/>
        <v>#VALUE!</v>
      </c>
      <c r="I32" s="4">
        <f t="shared" si="36"/>
        <v>0.8470928917456787</v>
      </c>
      <c r="J32" s="5">
        <f>CP21</f>
        <v>3.5446945220232555</v>
      </c>
      <c r="K32" s="5">
        <f t="shared" ref="K32:M32" si="37">CQ21</f>
        <v>3.5305750350631135</v>
      </c>
      <c r="L32" s="5">
        <f t="shared" si="37"/>
        <v>3.5842877873856156</v>
      </c>
      <c r="M32" s="5">
        <f t="shared" si="37"/>
        <v>3.5956110003695874</v>
      </c>
      <c r="Q32">
        <v>5.9259259259259265</v>
      </c>
      <c r="R32">
        <f t="shared" si="34"/>
        <v>2.2669861258015609</v>
      </c>
      <c r="S32">
        <f t="shared" si="25"/>
        <v>0.31676431873964178</v>
      </c>
      <c r="T32">
        <v>5.9259259259259265</v>
      </c>
      <c r="U32">
        <f t="shared" si="20"/>
        <v>4.2153977780135214</v>
      </c>
      <c r="V32">
        <f t="shared" si="26"/>
        <v>0.46721537709152622</v>
      </c>
      <c r="W32">
        <v>5.9259259259259265</v>
      </c>
      <c r="X32">
        <f t="shared" si="21"/>
        <v>3.5540052367916766</v>
      </c>
      <c r="Y32">
        <f t="shared" si="27"/>
        <v>0.12806227213655524</v>
      </c>
    </row>
    <row r="33" spans="1:25" x14ac:dyDescent="0.25">
      <c r="Q33">
        <v>3.9506172839506175</v>
      </c>
      <c r="R33">
        <f t="shared" si="34"/>
        <v>1.4852928232684075</v>
      </c>
      <c r="S33">
        <f t="shared" si="25"/>
        <v>0.21295559270224221</v>
      </c>
      <c r="T33">
        <v>3.9506172839506175</v>
      </c>
      <c r="U33">
        <f t="shared" si="20"/>
        <v>2.3983612498810225</v>
      </c>
      <c r="V33">
        <f t="shared" si="26"/>
        <v>0.38573747826288396</v>
      </c>
      <c r="W33">
        <v>3.9506172839506175</v>
      </c>
      <c r="X33">
        <f t="shared" si="21"/>
        <v>2.3209389244581242</v>
      </c>
      <c r="Y33">
        <f t="shared" si="27"/>
        <v>0.13681545232015718</v>
      </c>
    </row>
    <row r="34" spans="1:25" x14ac:dyDescent="0.25">
      <c r="A34" t="s">
        <v>99</v>
      </c>
      <c r="C34" s="3">
        <f>AVERAGE(G32,J32,K32,L32,M32)</f>
        <v>3.5290750169606668</v>
      </c>
      <c r="G34" s="4"/>
      <c r="K34" s="5"/>
      <c r="Q34">
        <v>2.6337448559670782</v>
      </c>
      <c r="R34">
        <f t="shared" si="34"/>
        <v>1.082569727737672</v>
      </c>
      <c r="S34">
        <f t="shared" si="25"/>
        <v>0.10363477327338208</v>
      </c>
      <c r="T34">
        <v>2.6337448559670782</v>
      </c>
      <c r="U34">
        <f t="shared" si="20"/>
        <v>1.8582983414792651</v>
      </c>
      <c r="V34">
        <f t="shared" si="26"/>
        <v>0.19659155685693969</v>
      </c>
      <c r="W34">
        <v>2.6337448559670782</v>
      </c>
      <c r="X34">
        <f t="shared" si="21"/>
        <v>1.8749166031745716</v>
      </c>
      <c r="Y34">
        <f t="shared" si="27"/>
        <v>0.7083020174307586</v>
      </c>
    </row>
    <row r="36" spans="1:25" x14ac:dyDescent="0.25">
      <c r="A36" t="s">
        <v>100</v>
      </c>
      <c r="C36" s="3">
        <f>AVERAGE(B32:E32)</f>
        <v>0.78655355743984334</v>
      </c>
      <c r="G36" s="8"/>
      <c r="K36" s="5"/>
    </row>
    <row r="39" spans="1:25" x14ac:dyDescent="0.25">
      <c r="A39" s="9" t="s">
        <v>102</v>
      </c>
    </row>
    <row r="40" spans="1:25" ht="15.75" x14ac:dyDescent="0.25">
      <c r="A40" s="2"/>
      <c r="B40" s="3">
        <f>(B25-$C$36)/($C$34-$C$36)*100</f>
        <v>56.108047697825803</v>
      </c>
      <c r="C40" s="3">
        <f t="shared" ref="C40:M47" si="38">(C25-$C$36)/($C$34-$C$36)*100</f>
        <v>49.180367465265114</v>
      </c>
      <c r="D40" s="3">
        <f t="shared" si="38"/>
        <v>41.118743671989897</v>
      </c>
      <c r="E40" s="3">
        <f t="shared" si="38"/>
        <v>41.228484471294877</v>
      </c>
      <c r="F40" s="3">
        <f t="shared" si="38"/>
        <v>67.579419003291434</v>
      </c>
      <c r="G40" s="3">
        <f t="shared" si="38"/>
        <v>67.715897417522001</v>
      </c>
      <c r="H40" s="3">
        <f t="shared" si="38"/>
        <v>54.278279634754981</v>
      </c>
      <c r="I40" s="3">
        <f t="shared" si="38"/>
        <v>53.832430886872473</v>
      </c>
      <c r="J40" s="3">
        <f t="shared" si="38"/>
        <v>40.270057757653404</v>
      </c>
      <c r="K40" s="3">
        <f t="shared" si="38"/>
        <v>39.866437817701019</v>
      </c>
      <c r="L40" s="3">
        <f t="shared" si="38"/>
        <v>46.113623829069866</v>
      </c>
      <c r="M40" s="3">
        <f t="shared" si="38"/>
        <v>47.48721855053526</v>
      </c>
    </row>
    <row r="41" spans="1:25" ht="15.75" x14ac:dyDescent="0.25">
      <c r="A41" s="2"/>
      <c r="B41" s="3">
        <f t="shared" ref="B41:F47" si="39">(B26-$C$36)/($C$34-$C$36)*100</f>
        <v>7.5908793302133999</v>
      </c>
      <c r="C41" s="3">
        <f t="shared" si="39"/>
        <v>7.0950704605076087</v>
      </c>
      <c r="D41" s="3">
        <f t="shared" si="39"/>
        <v>10.033592260092544</v>
      </c>
      <c r="E41" s="3">
        <f t="shared" si="39"/>
        <v>10.16277590439222</v>
      </c>
      <c r="F41" s="3">
        <f t="shared" si="39"/>
        <v>22.27480863120439</v>
      </c>
      <c r="G41" s="3">
        <f t="shared" si="38"/>
        <v>24.843591997532396</v>
      </c>
      <c r="H41" s="3">
        <f t="shared" si="38"/>
        <v>25.749974206031055</v>
      </c>
      <c r="I41" s="3">
        <f t="shared" si="38"/>
        <v>26.273581114489598</v>
      </c>
      <c r="J41" s="3">
        <f t="shared" si="38"/>
        <v>17.528814978807986</v>
      </c>
      <c r="K41" s="3">
        <f>(K26-$C$36)/($C$34-$C$36)*100</f>
        <v>17.246616466008771</v>
      </c>
      <c r="L41" s="3">
        <f t="shared" si="38"/>
        <v>16.454645495363668</v>
      </c>
      <c r="M41" s="3">
        <f t="shared" si="38"/>
        <v>16.578646858040663</v>
      </c>
    </row>
    <row r="42" spans="1:25" ht="15.75" x14ac:dyDescent="0.25">
      <c r="A42" s="2"/>
      <c r="B42" s="3">
        <f t="shared" si="39"/>
        <v>4.4421682998565339</v>
      </c>
      <c r="C42" s="3">
        <f t="shared" si="39"/>
        <v>4.310540850799053</v>
      </c>
      <c r="D42" s="3">
        <f t="shared" si="39"/>
        <v>6.5903906052497314</v>
      </c>
      <c r="E42" s="3">
        <f t="shared" si="39"/>
        <v>6.1780126852400059</v>
      </c>
      <c r="F42" s="3">
        <f t="shared" si="39"/>
        <v>12.454056670275957</v>
      </c>
      <c r="G42" s="3">
        <f t="shared" si="38"/>
        <v>13.595545768390346</v>
      </c>
      <c r="H42" s="3">
        <f t="shared" si="38"/>
        <v>13.588822784034491</v>
      </c>
      <c r="I42" s="3">
        <f t="shared" si="38"/>
        <v>13.495377524916019</v>
      </c>
      <c r="J42" s="3">
        <f t="shared" si="38"/>
        <v>9.9450315134892815</v>
      </c>
      <c r="K42" s="3">
        <f t="shared" si="38"/>
        <v>9.9270154287576293</v>
      </c>
      <c r="L42" s="3">
        <f t="shared" si="38"/>
        <v>9.5181249669046082</v>
      </c>
      <c r="M42" s="3">
        <f t="shared" si="38"/>
        <v>9.8063518559902896</v>
      </c>
    </row>
    <row r="43" spans="1:25" ht="15.75" x14ac:dyDescent="0.25">
      <c r="A43" s="2"/>
      <c r="B43" s="3">
        <f t="shared" si="39"/>
        <v>3.148464295671956</v>
      </c>
      <c r="C43" s="3">
        <f t="shared" si="39"/>
        <v>2.8526492065423641</v>
      </c>
      <c r="D43" s="3">
        <f t="shared" si="39"/>
        <v>3.7796299693659559</v>
      </c>
      <c r="E43" s="3">
        <f t="shared" si="39"/>
        <v>3.9507003134283027</v>
      </c>
      <c r="F43" s="3">
        <f t="shared" si="39"/>
        <v>7.8646049166161278</v>
      </c>
      <c r="G43" s="3">
        <f t="shared" si="38"/>
        <v>7.9122034804649717</v>
      </c>
      <c r="H43" s="3">
        <f t="shared" si="38"/>
        <v>8.1629515560767008</v>
      </c>
      <c r="I43" s="3">
        <f t="shared" si="38"/>
        <v>8.4455689959172844</v>
      </c>
      <c r="J43" s="3">
        <f t="shared" si="38"/>
        <v>6.1077633588563014</v>
      </c>
      <c r="K43" s="3">
        <f t="shared" si="38"/>
        <v>6.1672089125190244</v>
      </c>
      <c r="L43" s="3">
        <f t="shared" si="38"/>
        <v>5.6658202073808965</v>
      </c>
      <c r="M43" s="3">
        <f t="shared" si="38"/>
        <v>5.734652543487087</v>
      </c>
    </row>
    <row r="44" spans="1:25" ht="15.75" x14ac:dyDescent="0.25">
      <c r="A44" s="2"/>
      <c r="B44" s="3">
        <f t="shared" si="39"/>
        <v>1.9530468508072103</v>
      </c>
      <c r="C44" s="3">
        <f t="shared" si="39"/>
        <v>2.0413485167192729</v>
      </c>
      <c r="D44" s="3">
        <f t="shared" si="39"/>
        <v>2.4821069588355686</v>
      </c>
      <c r="E44" s="3">
        <f t="shared" si="39"/>
        <v>2.5914421768441911</v>
      </c>
      <c r="F44" s="3">
        <f t="shared" si="39"/>
        <v>4.5649566495897709</v>
      </c>
      <c r="G44" s="3">
        <f t="shared" si="38"/>
        <v>4.0520218752618167</v>
      </c>
      <c r="H44" s="3">
        <f t="shared" si="38"/>
        <v>4.5973930153683007</v>
      </c>
      <c r="I44" s="3">
        <f t="shared" si="38"/>
        <v>4.3878960957510209</v>
      </c>
      <c r="J44" s="3">
        <f t="shared" si="38"/>
        <v>3.4747212540966963</v>
      </c>
      <c r="K44" s="3">
        <f t="shared" si="38"/>
        <v>3.5328090489192387</v>
      </c>
      <c r="L44" s="3">
        <f t="shared" si="38"/>
        <v>3.4378634918470827</v>
      </c>
      <c r="M44" s="3">
        <f t="shared" si="38"/>
        <v>3.6913431696087082</v>
      </c>
    </row>
    <row r="45" spans="1:25" ht="15.75" x14ac:dyDescent="0.25">
      <c r="A45" s="6"/>
      <c r="B45" s="3">
        <f t="shared" si="39"/>
        <v>1.197745034307957</v>
      </c>
      <c r="C45" s="3">
        <f t="shared" si="39"/>
        <v>1.4620262122608796</v>
      </c>
      <c r="D45" s="3">
        <f t="shared" si="39"/>
        <v>1.5931479904255066</v>
      </c>
      <c r="E45" s="3">
        <f t="shared" si="39"/>
        <v>1.6882520560792875</v>
      </c>
      <c r="F45" s="3">
        <f t="shared" si="39"/>
        <v>2.5824122393207207</v>
      </c>
      <c r="G45" s="3">
        <f t="shared" si="38"/>
        <v>2.6854159882381432</v>
      </c>
      <c r="H45" s="3">
        <f t="shared" si="38"/>
        <v>2.345543594142212</v>
      </c>
      <c r="I45" s="3">
        <f t="shared" si="38"/>
        <v>2.6300268431982241</v>
      </c>
      <c r="J45" s="3">
        <f t="shared" si="38"/>
        <v>1.7484075845058134</v>
      </c>
      <c r="K45" s="3">
        <f t="shared" si="38"/>
        <v>2.3969092064793953</v>
      </c>
      <c r="L45" s="3">
        <f t="shared" si="38"/>
        <v>2.162996060975046</v>
      </c>
      <c r="M45" s="3">
        <f t="shared" si="38"/>
        <v>2.4029115059199317</v>
      </c>
    </row>
    <row r="46" spans="1:25" ht="16.5" thickBot="1" x14ac:dyDescent="0.3">
      <c r="A46" s="7"/>
      <c r="B46" s="3">
        <f t="shared" si="39"/>
        <v>1.011328511822472</v>
      </c>
      <c r="C46" s="3">
        <f t="shared" si="39"/>
        <v>1.0897459316162368</v>
      </c>
      <c r="D46" s="3">
        <f t="shared" si="39"/>
        <v>1.226498451438863</v>
      </c>
      <c r="E46" s="3">
        <f t="shared" si="39"/>
        <v>1.0027060160731165</v>
      </c>
      <c r="F46" s="3">
        <f t="shared" si="39"/>
        <v>1.7582129928468107</v>
      </c>
      <c r="G46" s="3">
        <f t="shared" si="38"/>
        <v>1.6494588441971541</v>
      </c>
      <c r="H46" s="3">
        <f t="shared" si="38"/>
        <v>1.9661283445395792</v>
      </c>
      <c r="I46" s="3">
        <f t="shared" si="38"/>
        <v>2.1447423346910006</v>
      </c>
      <c r="J46" s="3">
        <f t="shared" si="38"/>
        <v>1.772949191121781</v>
      </c>
      <c r="K46" s="3">
        <f t="shared" si="38"/>
        <v>1.5334905257166909</v>
      </c>
      <c r="L46" s="3">
        <f t="shared" si="38"/>
        <v>1.4019970424181558</v>
      </c>
      <c r="M46" s="3">
        <f t="shared" si="38"/>
        <v>2.6892622413888683</v>
      </c>
    </row>
    <row r="47" spans="1:25" x14ac:dyDescent="0.25">
      <c r="A47" s="1"/>
      <c r="B47" s="3">
        <f t="shared" si="39"/>
        <v>0.10404610913520801</v>
      </c>
      <c r="C47" s="3">
        <f t="shared" si="39"/>
        <v>0.14243902251959803</v>
      </c>
      <c r="D47" s="3">
        <f t="shared" si="39"/>
        <v>-0.11281924081794502</v>
      </c>
      <c r="E47" s="3">
        <f t="shared" si="39"/>
        <v>-0.13366589083685698</v>
      </c>
      <c r="F47" s="3" t="e">
        <f t="shared" si="39"/>
        <v>#VALUE!</v>
      </c>
      <c r="G47" s="3">
        <f t="shared" si="38"/>
        <v>94.936474370444088</v>
      </c>
      <c r="H47" s="3" t="e">
        <f t="shared" si="38"/>
        <v>#VALUE!</v>
      </c>
      <c r="I47" s="3">
        <f t="shared" si="38"/>
        <v>2.2074333856411412</v>
      </c>
      <c r="J47" s="3">
        <f t="shared" si="38"/>
        <v>100.56953082384696</v>
      </c>
      <c r="K47" s="3">
        <f t="shared" si="38"/>
        <v>100.05469485379008</v>
      </c>
      <c r="L47" s="3">
        <f t="shared" si="38"/>
        <v>102.01321197445053</v>
      </c>
      <c r="M47" s="3">
        <f t="shared" si="38"/>
        <v>102.42608797746821</v>
      </c>
    </row>
  </sheetData>
  <mergeCells count="6">
    <mergeCell ref="B2:E2"/>
    <mergeCell ref="F2:I2"/>
    <mergeCell ref="J2:M2"/>
    <mergeCell ref="B11:E11"/>
    <mergeCell ref="F11:I11"/>
    <mergeCell ref="J11:M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087C-BA25-4128-9326-5199EA3B02CC}">
  <dimension ref="A1:CS47"/>
  <sheetViews>
    <sheetView topLeftCell="A12" zoomScale="70" zoomScaleNormal="70" workbookViewId="0">
      <selection activeCell="P41" sqref="P41"/>
    </sheetView>
  </sheetViews>
  <sheetFormatPr defaultRowHeight="15" x14ac:dyDescent="0.25"/>
  <sheetData>
    <row r="1" spans="1:14" ht="15.75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4" ht="15.75" thickBot="1" x14ac:dyDescent="0.3">
      <c r="B3" s="31">
        <v>72</v>
      </c>
      <c r="C3" s="31"/>
      <c r="D3" s="31"/>
      <c r="E3" s="31"/>
      <c r="F3" s="31">
        <v>73</v>
      </c>
      <c r="G3" s="31"/>
      <c r="H3" s="31"/>
      <c r="I3" s="31"/>
      <c r="J3" s="31" t="s">
        <v>106</v>
      </c>
      <c r="K3" s="31"/>
      <c r="L3" s="31"/>
      <c r="M3" s="31"/>
    </row>
    <row r="4" spans="1:14" ht="15.75" x14ac:dyDescent="0.25">
      <c r="B4" s="10">
        <v>1</v>
      </c>
      <c r="C4" s="11">
        <v>2</v>
      </c>
      <c r="D4" s="11">
        <v>3</v>
      </c>
      <c r="E4" s="11">
        <v>4</v>
      </c>
      <c r="F4" s="11">
        <v>5</v>
      </c>
      <c r="G4" s="11">
        <v>6</v>
      </c>
      <c r="H4" s="11">
        <v>7</v>
      </c>
      <c r="I4" s="11">
        <v>8</v>
      </c>
      <c r="J4" s="11">
        <v>9</v>
      </c>
      <c r="K4" s="11">
        <v>10</v>
      </c>
      <c r="L4" s="11">
        <v>11</v>
      </c>
      <c r="M4" s="12">
        <v>12</v>
      </c>
    </row>
    <row r="5" spans="1:14" ht="15.75" x14ac:dyDescent="0.25">
      <c r="B5" s="13">
        <v>30</v>
      </c>
      <c r="C5" s="14"/>
      <c r="D5" s="14"/>
      <c r="E5" s="14"/>
      <c r="F5" s="16">
        <v>10</v>
      </c>
      <c r="G5" s="16"/>
      <c r="H5" s="16"/>
      <c r="I5" s="16"/>
      <c r="J5" s="18">
        <v>15</v>
      </c>
      <c r="K5" s="18"/>
      <c r="L5" s="18"/>
      <c r="M5" s="18"/>
    </row>
    <row r="6" spans="1:14" ht="15.75" x14ac:dyDescent="0.25">
      <c r="A6" s="21"/>
      <c r="B6" s="13">
        <f>B5*2/3</f>
        <v>20</v>
      </c>
      <c r="C6" s="14"/>
      <c r="D6" s="14"/>
      <c r="E6" s="14"/>
      <c r="F6" s="16">
        <f>F5/2</f>
        <v>5</v>
      </c>
      <c r="G6" s="16"/>
      <c r="H6" s="16"/>
      <c r="I6" s="16"/>
      <c r="J6" s="18">
        <f>J5/2</f>
        <v>7.5</v>
      </c>
      <c r="K6" s="18"/>
      <c r="L6" s="18"/>
      <c r="M6" s="18"/>
    </row>
    <row r="7" spans="1:14" ht="15.75" x14ac:dyDescent="0.25">
      <c r="A7" s="21"/>
      <c r="B7" s="13">
        <f t="shared" ref="B7:B11" si="0">B6*2/3</f>
        <v>13.333333333333334</v>
      </c>
      <c r="C7" s="14"/>
      <c r="D7" s="14"/>
      <c r="E7" s="14"/>
      <c r="F7" s="16">
        <f t="shared" ref="F7:F11" si="1">F6/2</f>
        <v>2.5</v>
      </c>
      <c r="G7" s="16"/>
      <c r="H7" s="16"/>
      <c r="I7" s="16"/>
      <c r="J7" s="18">
        <f t="shared" ref="J7:J11" si="2">J6/2</f>
        <v>3.75</v>
      </c>
      <c r="K7" s="18"/>
      <c r="L7" s="18"/>
      <c r="M7" s="18"/>
    </row>
    <row r="8" spans="1:14" ht="15.75" x14ac:dyDescent="0.25">
      <c r="A8" s="21"/>
      <c r="B8" s="13">
        <f t="shared" si="0"/>
        <v>8.8888888888888893</v>
      </c>
      <c r="C8" s="14"/>
      <c r="D8" s="14"/>
      <c r="E8" s="14"/>
      <c r="F8" s="16">
        <f t="shared" si="1"/>
        <v>1.25</v>
      </c>
      <c r="G8" s="16"/>
      <c r="H8" s="16"/>
      <c r="I8" s="16"/>
      <c r="J8" s="18">
        <f t="shared" si="2"/>
        <v>1.875</v>
      </c>
      <c r="K8" s="18"/>
      <c r="L8" s="18"/>
      <c r="M8" s="18"/>
    </row>
    <row r="9" spans="1:14" ht="15.75" x14ac:dyDescent="0.25">
      <c r="A9" s="21"/>
      <c r="B9" s="13">
        <f t="shared" si="0"/>
        <v>5.9259259259259265</v>
      </c>
      <c r="C9" s="14"/>
      <c r="D9" s="14"/>
      <c r="E9" s="14"/>
      <c r="F9" s="16">
        <f t="shared" si="1"/>
        <v>0.625</v>
      </c>
      <c r="G9" s="16"/>
      <c r="H9" s="16"/>
      <c r="I9" s="16"/>
      <c r="J9" s="18">
        <f t="shared" si="2"/>
        <v>0.9375</v>
      </c>
      <c r="K9" s="18"/>
      <c r="L9" s="18"/>
      <c r="M9" s="18"/>
    </row>
    <row r="10" spans="1:14" ht="15.75" x14ac:dyDescent="0.25">
      <c r="A10" s="21"/>
      <c r="B10" s="13">
        <f t="shared" si="0"/>
        <v>3.9506172839506175</v>
      </c>
      <c r="C10" s="14"/>
      <c r="D10" s="14"/>
      <c r="E10" s="14"/>
      <c r="F10" s="16">
        <f t="shared" si="1"/>
        <v>0.3125</v>
      </c>
      <c r="G10" s="16"/>
      <c r="H10" s="16"/>
      <c r="I10" s="16"/>
      <c r="J10" s="18">
        <f t="shared" si="2"/>
        <v>0.46875</v>
      </c>
      <c r="K10" s="18"/>
      <c r="L10" s="18"/>
      <c r="M10" s="18"/>
    </row>
    <row r="11" spans="1:14" ht="15.75" x14ac:dyDescent="0.25">
      <c r="A11" s="22"/>
      <c r="B11" s="13">
        <f t="shared" si="0"/>
        <v>2.6337448559670782</v>
      </c>
      <c r="C11" s="14"/>
      <c r="D11" s="14"/>
      <c r="E11" s="14"/>
      <c r="F11" s="16">
        <f t="shared" si="1"/>
        <v>0.15625</v>
      </c>
      <c r="G11" s="16"/>
      <c r="H11" s="16"/>
      <c r="I11" s="16"/>
      <c r="J11" s="18">
        <f t="shared" si="2"/>
        <v>0.234375</v>
      </c>
      <c r="K11" s="18"/>
      <c r="L11" s="18"/>
      <c r="M11" s="18"/>
    </row>
    <row r="12" spans="1:14" ht="16.5" thickBot="1" x14ac:dyDescent="0.3">
      <c r="A12" s="21"/>
      <c r="B12" s="30" t="s">
        <v>104</v>
      </c>
      <c r="C12" s="31"/>
      <c r="D12" s="31"/>
      <c r="E12" s="31"/>
      <c r="F12" s="31" t="s">
        <v>98</v>
      </c>
      <c r="G12" s="31"/>
      <c r="H12" s="31"/>
      <c r="I12" s="31"/>
      <c r="J12" s="31" t="s">
        <v>105</v>
      </c>
      <c r="K12" s="31"/>
      <c r="L12" s="31"/>
      <c r="M12" s="32"/>
    </row>
    <row r="18" spans="1:97" x14ac:dyDescent="0.25">
      <c r="A18" s="23" t="s">
        <v>0</v>
      </c>
      <c r="B18" s="23" t="s">
        <v>1</v>
      </c>
      <c r="C18" s="23" t="s">
        <v>2</v>
      </c>
      <c r="D18" s="23" t="s">
        <v>3</v>
      </c>
      <c r="E18" s="23" t="s">
        <v>4</v>
      </c>
      <c r="F18" s="23" t="s">
        <v>5</v>
      </c>
      <c r="G18" s="23" t="s">
        <v>6</v>
      </c>
      <c r="H18" s="23" t="s">
        <v>7</v>
      </c>
      <c r="I18" s="23" t="s">
        <v>8</v>
      </c>
      <c r="J18" s="23" t="s">
        <v>9</v>
      </c>
      <c r="K18" s="23" t="s">
        <v>10</v>
      </c>
      <c r="L18" s="23" t="s">
        <v>11</v>
      </c>
      <c r="M18" s="23" t="s">
        <v>12</v>
      </c>
      <c r="N18" s="23" t="s">
        <v>13</v>
      </c>
      <c r="O18" s="23" t="s">
        <v>14</v>
      </c>
      <c r="P18" s="23" t="s">
        <v>15</v>
      </c>
      <c r="Q18" s="23" t="s">
        <v>16</v>
      </c>
      <c r="R18" s="23" t="s">
        <v>17</v>
      </c>
      <c r="S18" s="23" t="s">
        <v>18</v>
      </c>
      <c r="T18" s="23" t="s">
        <v>19</v>
      </c>
      <c r="U18" s="23" t="s">
        <v>20</v>
      </c>
      <c r="V18" s="23" t="s">
        <v>21</v>
      </c>
      <c r="W18" s="23" t="s">
        <v>22</v>
      </c>
      <c r="X18" s="23" t="s">
        <v>23</v>
      </c>
      <c r="Y18" s="23" t="s">
        <v>24</v>
      </c>
      <c r="Z18" s="23" t="s">
        <v>25</v>
      </c>
      <c r="AA18" s="23" t="s">
        <v>26</v>
      </c>
      <c r="AB18" s="23" t="s">
        <v>27</v>
      </c>
      <c r="AC18" s="23" t="s">
        <v>28</v>
      </c>
      <c r="AD18" s="23" t="s">
        <v>29</v>
      </c>
      <c r="AE18" s="23" t="s">
        <v>30</v>
      </c>
      <c r="AF18" s="23" t="s">
        <v>31</v>
      </c>
      <c r="AG18" s="23" t="s">
        <v>32</v>
      </c>
      <c r="AH18" s="23" t="s">
        <v>33</v>
      </c>
      <c r="AI18" s="23" t="s">
        <v>34</v>
      </c>
      <c r="AJ18" s="23" t="s">
        <v>35</v>
      </c>
      <c r="AK18" s="23" t="s">
        <v>36</v>
      </c>
      <c r="AL18" s="23" t="s">
        <v>37</v>
      </c>
      <c r="AM18" s="23" t="s">
        <v>38</v>
      </c>
      <c r="AN18" s="23" t="s">
        <v>39</v>
      </c>
      <c r="AO18" s="23" t="s">
        <v>40</v>
      </c>
      <c r="AP18" s="23" t="s">
        <v>41</v>
      </c>
      <c r="AQ18" s="23" t="s">
        <v>42</v>
      </c>
      <c r="AR18" s="23" t="s">
        <v>43</v>
      </c>
      <c r="AS18" s="23" t="s">
        <v>44</v>
      </c>
      <c r="AT18" s="23" t="s">
        <v>45</v>
      </c>
      <c r="AU18" s="23" t="s">
        <v>46</v>
      </c>
      <c r="AV18" s="23" t="s">
        <v>47</v>
      </c>
      <c r="AW18" s="23" t="s">
        <v>48</v>
      </c>
      <c r="AX18" s="23" t="s">
        <v>49</v>
      </c>
      <c r="AY18" s="23" t="s">
        <v>50</v>
      </c>
      <c r="AZ18" s="23" t="s">
        <v>51</v>
      </c>
      <c r="BA18" s="23" t="s">
        <v>52</v>
      </c>
      <c r="BB18" s="23" t="s">
        <v>53</v>
      </c>
      <c r="BC18" s="23" t="s">
        <v>54</v>
      </c>
      <c r="BD18" s="23" t="s">
        <v>55</v>
      </c>
      <c r="BE18" s="23" t="s">
        <v>56</v>
      </c>
      <c r="BF18" s="23" t="s">
        <v>57</v>
      </c>
      <c r="BG18" s="23" t="s">
        <v>58</v>
      </c>
      <c r="BH18" s="23" t="s">
        <v>59</v>
      </c>
      <c r="BI18" s="23" t="s">
        <v>60</v>
      </c>
      <c r="BJ18" s="23" t="s">
        <v>61</v>
      </c>
      <c r="BK18" s="23" t="s">
        <v>62</v>
      </c>
      <c r="BL18" s="23" t="s">
        <v>63</v>
      </c>
      <c r="BM18" s="23" t="s">
        <v>64</v>
      </c>
      <c r="BN18" s="23" t="s">
        <v>65</v>
      </c>
      <c r="BO18" s="23" t="s">
        <v>66</v>
      </c>
      <c r="BP18" s="23" t="s">
        <v>67</v>
      </c>
      <c r="BQ18" s="23" t="s">
        <v>68</v>
      </c>
      <c r="BR18" s="23" t="s">
        <v>69</v>
      </c>
      <c r="BS18" s="23" t="s">
        <v>70</v>
      </c>
      <c r="BT18" s="23" t="s">
        <v>71</v>
      </c>
      <c r="BU18" s="23" t="s">
        <v>72</v>
      </c>
      <c r="BV18" s="23" t="s">
        <v>73</v>
      </c>
      <c r="BW18" s="23" t="s">
        <v>74</v>
      </c>
      <c r="BX18" s="23" t="s">
        <v>75</v>
      </c>
      <c r="BY18" s="23" t="s">
        <v>76</v>
      </c>
      <c r="BZ18" s="23" t="s">
        <v>77</v>
      </c>
      <c r="CA18" s="23" t="s">
        <v>78</v>
      </c>
      <c r="CB18" s="23" t="s">
        <v>79</v>
      </c>
      <c r="CC18" s="23" t="s">
        <v>80</v>
      </c>
      <c r="CD18" s="23" t="s">
        <v>81</v>
      </c>
      <c r="CE18" s="23" t="s">
        <v>82</v>
      </c>
      <c r="CF18" s="23" t="s">
        <v>83</v>
      </c>
      <c r="CG18" s="23" t="s">
        <v>84</v>
      </c>
      <c r="CH18" s="23" t="s">
        <v>85</v>
      </c>
      <c r="CI18" s="23" t="s">
        <v>86</v>
      </c>
      <c r="CJ18" s="23" t="s">
        <v>87</v>
      </c>
      <c r="CK18" s="23" t="s">
        <v>88</v>
      </c>
      <c r="CL18" s="23" t="s">
        <v>89</v>
      </c>
      <c r="CM18" s="23" t="s">
        <v>90</v>
      </c>
      <c r="CN18" s="23" t="s">
        <v>91</v>
      </c>
      <c r="CO18" s="23" t="s">
        <v>92</v>
      </c>
      <c r="CP18" s="23" t="s">
        <v>93</v>
      </c>
      <c r="CQ18" s="23" t="s">
        <v>94</v>
      </c>
      <c r="CR18" s="23" t="s">
        <v>95</v>
      </c>
      <c r="CS18" s="23" t="s">
        <v>96</v>
      </c>
    </row>
    <row r="19" spans="1:97" x14ac:dyDescent="0.25">
      <c r="A19" s="23">
        <v>403</v>
      </c>
      <c r="B19" s="24">
        <v>246874</v>
      </c>
      <c r="C19" s="24">
        <v>234855</v>
      </c>
      <c r="D19" s="24">
        <v>242670</v>
      </c>
      <c r="E19" s="24">
        <v>264767</v>
      </c>
      <c r="F19" s="24">
        <v>291302</v>
      </c>
      <c r="G19" s="24">
        <v>276550</v>
      </c>
      <c r="H19" s="24">
        <v>288069</v>
      </c>
      <c r="I19" s="24">
        <v>281766</v>
      </c>
      <c r="J19" s="24">
        <v>248629</v>
      </c>
      <c r="K19" s="24">
        <v>211199</v>
      </c>
      <c r="L19" s="24">
        <v>192664</v>
      </c>
      <c r="M19" s="24">
        <v>255212</v>
      </c>
      <c r="N19" s="24">
        <v>344466</v>
      </c>
      <c r="O19" s="24">
        <v>377564</v>
      </c>
      <c r="P19" s="24">
        <v>363645</v>
      </c>
      <c r="Q19" s="24">
        <v>366254</v>
      </c>
      <c r="R19" s="24">
        <v>310991</v>
      </c>
      <c r="S19" s="24">
        <v>286730</v>
      </c>
      <c r="T19" s="24">
        <v>295997</v>
      </c>
      <c r="U19" s="24">
        <v>301278</v>
      </c>
      <c r="V19" s="24">
        <v>260334</v>
      </c>
      <c r="W19" s="24">
        <v>281570</v>
      </c>
      <c r="X19" s="24">
        <v>263201</v>
      </c>
      <c r="Y19" s="24">
        <v>270787</v>
      </c>
      <c r="Z19" s="24">
        <v>375877</v>
      </c>
      <c r="AA19" s="24">
        <v>387191</v>
      </c>
      <c r="AB19" s="24">
        <v>329645</v>
      </c>
      <c r="AC19" s="24">
        <v>376613</v>
      </c>
      <c r="AD19" s="24">
        <v>294471</v>
      </c>
      <c r="AE19" s="24">
        <v>261455</v>
      </c>
      <c r="AF19" s="24">
        <v>290953</v>
      </c>
      <c r="AG19" s="24">
        <v>266510</v>
      </c>
      <c r="AH19" s="24">
        <v>314032</v>
      </c>
      <c r="AI19" s="24">
        <v>299276</v>
      </c>
      <c r="AJ19" s="24">
        <v>228855</v>
      </c>
      <c r="AK19" s="24">
        <v>304330</v>
      </c>
      <c r="AL19" s="24">
        <v>383193</v>
      </c>
      <c r="AM19" s="24">
        <v>390340</v>
      </c>
      <c r="AN19" s="24">
        <v>324135</v>
      </c>
      <c r="AO19" s="24">
        <v>373016</v>
      </c>
      <c r="AP19" s="24">
        <v>356728</v>
      </c>
      <c r="AQ19" s="24">
        <v>350671</v>
      </c>
      <c r="AR19" s="24">
        <v>328779</v>
      </c>
      <c r="AS19" s="24">
        <v>337293</v>
      </c>
      <c r="AT19" s="24">
        <v>335445</v>
      </c>
      <c r="AU19" s="24">
        <v>299348</v>
      </c>
      <c r="AV19" s="24">
        <v>322497</v>
      </c>
      <c r="AW19" s="24">
        <v>319156</v>
      </c>
      <c r="AX19" s="24">
        <v>396522</v>
      </c>
      <c r="AY19" s="24">
        <v>405529</v>
      </c>
      <c r="AZ19" s="24">
        <v>400831</v>
      </c>
      <c r="BA19" s="24">
        <v>390883</v>
      </c>
      <c r="BB19" s="24">
        <v>385431</v>
      </c>
      <c r="BC19" s="24">
        <v>387592</v>
      </c>
      <c r="BD19" s="24">
        <v>387904</v>
      </c>
      <c r="BE19" s="24">
        <v>379616</v>
      </c>
      <c r="BF19" s="24">
        <v>314821</v>
      </c>
      <c r="BG19" s="24">
        <v>342679</v>
      </c>
      <c r="BH19" s="24">
        <v>280147</v>
      </c>
      <c r="BI19" s="24">
        <v>323179</v>
      </c>
      <c r="BJ19" s="24">
        <v>405231</v>
      </c>
      <c r="BK19" s="24">
        <v>403426</v>
      </c>
      <c r="BL19" s="24">
        <v>400284</v>
      </c>
      <c r="BM19" s="24">
        <v>389541</v>
      </c>
      <c r="BN19" s="24">
        <v>384311</v>
      </c>
      <c r="BO19" s="24">
        <v>403969</v>
      </c>
      <c r="BP19" s="24">
        <v>399925</v>
      </c>
      <c r="BQ19" s="24">
        <v>362360</v>
      </c>
      <c r="BR19" s="24">
        <v>377035</v>
      </c>
      <c r="BS19" s="24">
        <v>361310</v>
      </c>
      <c r="BT19" s="24">
        <v>384348</v>
      </c>
      <c r="BU19" s="24">
        <v>382843</v>
      </c>
      <c r="BV19" s="24">
        <v>396769</v>
      </c>
      <c r="BW19" s="24">
        <v>326902</v>
      </c>
      <c r="BX19" s="24">
        <v>405005</v>
      </c>
      <c r="BY19" s="24">
        <v>404632</v>
      </c>
      <c r="BZ19" s="24">
        <v>358062</v>
      </c>
      <c r="CA19" s="24">
        <v>409079</v>
      </c>
      <c r="CB19" s="24">
        <v>419204</v>
      </c>
      <c r="CC19" s="24">
        <v>384644</v>
      </c>
      <c r="CD19" s="24">
        <v>394015</v>
      </c>
      <c r="CE19" s="24">
        <v>314046</v>
      </c>
      <c r="CF19" s="24">
        <v>399877</v>
      </c>
      <c r="CG19" s="24">
        <v>366851</v>
      </c>
      <c r="CH19" s="24">
        <v>416753</v>
      </c>
      <c r="CI19" s="24">
        <v>400827</v>
      </c>
      <c r="CJ19" s="24">
        <v>337562</v>
      </c>
      <c r="CK19" s="24">
        <v>399559</v>
      </c>
      <c r="CL19" s="24">
        <v>178116</v>
      </c>
      <c r="CM19" s="24">
        <v>186055</v>
      </c>
      <c r="CN19" s="24">
        <v>165377</v>
      </c>
      <c r="CO19" s="24">
        <v>420535</v>
      </c>
      <c r="CP19" s="24">
        <v>166552</v>
      </c>
      <c r="CQ19" s="24">
        <v>167035</v>
      </c>
      <c r="CR19" s="24">
        <v>166424</v>
      </c>
      <c r="CS19" s="24">
        <v>168550</v>
      </c>
    </row>
    <row r="20" spans="1:97" x14ac:dyDescent="0.25">
      <c r="A20" s="23">
        <v>460</v>
      </c>
      <c r="B20" s="24">
        <v>622343</v>
      </c>
      <c r="C20" s="24">
        <v>534273</v>
      </c>
      <c r="D20" s="24">
        <v>493167</v>
      </c>
      <c r="E20" s="24">
        <v>534552</v>
      </c>
      <c r="F20" s="24">
        <v>574659</v>
      </c>
      <c r="G20" s="24">
        <v>625235</v>
      </c>
      <c r="H20" s="24">
        <v>592291</v>
      </c>
      <c r="I20" s="24">
        <v>610076</v>
      </c>
      <c r="J20" s="24">
        <v>636588</v>
      </c>
      <c r="K20" s="24">
        <v>513580</v>
      </c>
      <c r="L20" s="24">
        <v>520271</v>
      </c>
      <c r="M20" s="24">
        <v>649510</v>
      </c>
      <c r="N20" s="24">
        <v>455165</v>
      </c>
      <c r="O20" s="24">
        <v>375147</v>
      </c>
      <c r="P20" s="24">
        <v>400681</v>
      </c>
      <c r="Q20" s="24">
        <v>398119</v>
      </c>
      <c r="R20" s="24">
        <v>518817</v>
      </c>
      <c r="S20" s="24">
        <v>599763</v>
      </c>
      <c r="T20" s="24">
        <v>587321</v>
      </c>
      <c r="U20" s="24">
        <v>585063</v>
      </c>
      <c r="V20" s="24">
        <v>637070</v>
      </c>
      <c r="W20" s="24">
        <v>601267</v>
      </c>
      <c r="X20" s="24">
        <v>639632</v>
      </c>
      <c r="Y20" s="24">
        <v>638134</v>
      </c>
      <c r="Z20" s="24">
        <v>406772</v>
      </c>
      <c r="AA20" s="24">
        <v>358362</v>
      </c>
      <c r="AB20" s="24">
        <v>319896</v>
      </c>
      <c r="AC20" s="24">
        <v>366834</v>
      </c>
      <c r="AD20" s="24">
        <v>556895</v>
      </c>
      <c r="AE20" s="24">
        <v>494224</v>
      </c>
      <c r="AF20" s="24">
        <v>568877</v>
      </c>
      <c r="AG20" s="24">
        <v>509945</v>
      </c>
      <c r="AH20" s="24">
        <v>546258</v>
      </c>
      <c r="AI20" s="24">
        <v>504227</v>
      </c>
      <c r="AJ20" s="24">
        <v>500194</v>
      </c>
      <c r="AK20" s="24">
        <v>559439</v>
      </c>
      <c r="AL20" s="24">
        <v>371203</v>
      </c>
      <c r="AM20" s="24">
        <v>348993</v>
      </c>
      <c r="AN20" s="24">
        <v>291577</v>
      </c>
      <c r="AO20" s="24">
        <v>338985</v>
      </c>
      <c r="AP20" s="24">
        <v>442374</v>
      </c>
      <c r="AQ20" s="24">
        <v>438312</v>
      </c>
      <c r="AR20" s="24">
        <v>478957</v>
      </c>
      <c r="AS20" s="24">
        <v>492601</v>
      </c>
      <c r="AT20" s="24">
        <v>487844</v>
      </c>
      <c r="AU20" s="24">
        <v>437718</v>
      </c>
      <c r="AV20" s="24">
        <v>552640</v>
      </c>
      <c r="AW20" s="24">
        <v>520598</v>
      </c>
      <c r="AX20" s="24">
        <v>353916</v>
      </c>
      <c r="AY20" s="24">
        <v>348066</v>
      </c>
      <c r="AZ20" s="24">
        <v>347420</v>
      </c>
      <c r="BA20" s="24">
        <v>338209</v>
      </c>
      <c r="BB20" s="24">
        <v>364728</v>
      </c>
      <c r="BC20" s="24">
        <v>371357</v>
      </c>
      <c r="BD20" s="24">
        <v>394624</v>
      </c>
      <c r="BE20" s="24">
        <v>386948</v>
      </c>
      <c r="BF20" s="24">
        <v>431876</v>
      </c>
      <c r="BG20" s="24">
        <v>467067</v>
      </c>
      <c r="BH20" s="24">
        <v>449668</v>
      </c>
      <c r="BI20" s="24">
        <v>526575</v>
      </c>
      <c r="BJ20" s="24">
        <v>344529</v>
      </c>
      <c r="BK20" s="24">
        <v>334332</v>
      </c>
      <c r="BL20" s="24">
        <v>335249</v>
      </c>
      <c r="BM20" s="24">
        <v>330012</v>
      </c>
      <c r="BN20" s="24">
        <v>332577</v>
      </c>
      <c r="BO20" s="24">
        <v>354550</v>
      </c>
      <c r="BP20" s="24">
        <v>356955</v>
      </c>
      <c r="BQ20" s="24">
        <v>318157</v>
      </c>
      <c r="BR20" s="24">
        <v>377553</v>
      </c>
      <c r="BS20" s="24">
        <v>363048</v>
      </c>
      <c r="BT20" s="24">
        <v>415274</v>
      </c>
      <c r="BU20" s="24">
        <v>418477</v>
      </c>
      <c r="BV20" s="24">
        <v>334478</v>
      </c>
      <c r="BW20" s="24">
        <v>262837</v>
      </c>
      <c r="BX20" s="24">
        <v>333618</v>
      </c>
      <c r="BY20" s="24">
        <v>334252</v>
      </c>
      <c r="BZ20" s="24">
        <v>293136</v>
      </c>
      <c r="CA20" s="24">
        <v>339365</v>
      </c>
      <c r="CB20" s="24">
        <v>352884</v>
      </c>
      <c r="CC20" s="24">
        <v>322184</v>
      </c>
      <c r="CD20" s="24">
        <v>345773</v>
      </c>
      <c r="CE20" s="24">
        <v>268469</v>
      </c>
      <c r="CF20" s="24">
        <v>367134</v>
      </c>
      <c r="CG20" s="24">
        <v>333283</v>
      </c>
      <c r="CH20" s="24">
        <v>329790</v>
      </c>
      <c r="CI20" s="24">
        <v>315652</v>
      </c>
      <c r="CJ20" s="24">
        <v>261494</v>
      </c>
      <c r="CK20" s="24">
        <v>310761</v>
      </c>
      <c r="CL20" s="24">
        <v>608968</v>
      </c>
      <c r="CM20" s="24">
        <v>637349</v>
      </c>
      <c r="CN20" s="24">
        <v>565370</v>
      </c>
      <c r="CO20" s="24">
        <v>349968</v>
      </c>
      <c r="CP20" s="24">
        <v>591836</v>
      </c>
      <c r="CQ20" s="24">
        <v>600044</v>
      </c>
      <c r="CR20" s="24">
        <v>596769</v>
      </c>
      <c r="CS20" s="24">
        <v>591162</v>
      </c>
    </row>
    <row r="21" spans="1:97" x14ac:dyDescent="0.25">
      <c r="A21" t="s">
        <v>97</v>
      </c>
      <c r="B21">
        <f>B20/B19</f>
        <v>2.5208932491878446</v>
      </c>
      <c r="C21">
        <f t="shared" ref="C21:AB21" si="3">C20/C19</f>
        <v>2.274905792936067</v>
      </c>
      <c r="D21">
        <f t="shared" si="3"/>
        <v>2.0322536778340958</v>
      </c>
      <c r="E21">
        <f t="shared" si="3"/>
        <v>2.018952512964229</v>
      </c>
      <c r="F21">
        <f t="shared" si="3"/>
        <v>1.9727258995818773</v>
      </c>
      <c r="G21">
        <f t="shared" si="3"/>
        <v>2.2608389079732416</v>
      </c>
      <c r="H21">
        <f t="shared" si="3"/>
        <v>2.0560733713103456</v>
      </c>
      <c r="I21">
        <f t="shared" si="3"/>
        <v>2.1651867152175921</v>
      </c>
      <c r="J21">
        <f t="shared" si="3"/>
        <v>2.5603931962884459</v>
      </c>
      <c r="K21">
        <f t="shared" si="3"/>
        <v>2.431734998745259</v>
      </c>
      <c r="L21">
        <f t="shared" si="3"/>
        <v>2.700405887970768</v>
      </c>
      <c r="M21">
        <f t="shared" si="3"/>
        <v>2.5449822108678277</v>
      </c>
      <c r="N21">
        <f t="shared" si="3"/>
        <v>1.3213640823767803</v>
      </c>
      <c r="O21">
        <f t="shared" si="3"/>
        <v>0.99359843629159561</v>
      </c>
      <c r="P21">
        <f t="shared" si="3"/>
        <v>1.1018465811436979</v>
      </c>
      <c r="Q21">
        <f t="shared" si="3"/>
        <v>1.0870024627717376</v>
      </c>
      <c r="R21">
        <f t="shared" si="3"/>
        <v>1.6682701428658706</v>
      </c>
      <c r="S21">
        <f t="shared" si="3"/>
        <v>2.0917343842639418</v>
      </c>
      <c r="T21">
        <f t="shared" si="3"/>
        <v>1.9842126778311941</v>
      </c>
      <c r="U21">
        <f t="shared" si="3"/>
        <v>1.9419373469021965</v>
      </c>
      <c r="V21">
        <f t="shared" si="3"/>
        <v>2.447125615555402</v>
      </c>
      <c r="W21">
        <f t="shared" si="3"/>
        <v>2.1354086017686544</v>
      </c>
      <c r="X21">
        <f t="shared" si="3"/>
        <v>2.4302035326613503</v>
      </c>
      <c r="Y21">
        <f t="shared" si="3"/>
        <v>2.3565902351294561</v>
      </c>
      <c r="Z21">
        <f t="shared" si="3"/>
        <v>1.0821944412666911</v>
      </c>
      <c r="AA21">
        <f t="shared" si="3"/>
        <v>0.92554320735760909</v>
      </c>
      <c r="AB21">
        <f t="shared" si="3"/>
        <v>0.97042576104597367</v>
      </c>
      <c r="AC21">
        <f>AC20/AC19</f>
        <v>0.9740343535671897</v>
      </c>
      <c r="AD21">
        <f t="shared" ref="AD21:AN21" si="4">AD20/AD19</f>
        <v>1.891170947224005</v>
      </c>
      <c r="AE21">
        <f t="shared" si="4"/>
        <v>1.8902832227343138</v>
      </c>
      <c r="AF21">
        <f t="shared" si="4"/>
        <v>1.9552195715459197</v>
      </c>
      <c r="AG21">
        <f t="shared" si="4"/>
        <v>1.9134178830062663</v>
      </c>
      <c r="AH21">
        <f t="shared" si="4"/>
        <v>1.7394978855658023</v>
      </c>
      <c r="AI21">
        <f t="shared" si="4"/>
        <v>1.6848227054625162</v>
      </c>
      <c r="AJ21">
        <f t="shared" si="4"/>
        <v>2.1856371938563721</v>
      </c>
      <c r="AK21">
        <f t="shared" si="4"/>
        <v>1.8382643840567805</v>
      </c>
      <c r="AL21">
        <f t="shared" si="4"/>
        <v>0.96871028437367068</v>
      </c>
      <c r="AM21">
        <f t="shared" si="4"/>
        <v>0.89407439667981758</v>
      </c>
      <c r="AN21">
        <f t="shared" si="4"/>
        <v>0.89955419809647219</v>
      </c>
      <c r="AO21">
        <f>AO20/AO19</f>
        <v>0.90876798850451457</v>
      </c>
      <c r="AP21">
        <f t="shared" ref="AP21:BG21" si="5">AP20/AP19</f>
        <v>1.2400876858558902</v>
      </c>
      <c r="AQ21">
        <f t="shared" si="5"/>
        <v>1.2499237176726903</v>
      </c>
      <c r="AR21">
        <f t="shared" si="5"/>
        <v>1.456774915672838</v>
      </c>
      <c r="AS21">
        <f t="shared" si="5"/>
        <v>1.460454263800316</v>
      </c>
      <c r="AT21">
        <f t="shared" si="5"/>
        <v>1.4543188898329085</v>
      </c>
      <c r="AU21">
        <f t="shared" si="5"/>
        <v>1.4622379304354798</v>
      </c>
      <c r="AV21">
        <f t="shared" si="5"/>
        <v>1.713628343829555</v>
      </c>
      <c r="AW21">
        <f t="shared" si="5"/>
        <v>1.6311709634160096</v>
      </c>
      <c r="AX21">
        <f t="shared" si="5"/>
        <v>0.89255072858504703</v>
      </c>
      <c r="AY21">
        <f t="shared" si="5"/>
        <v>0.85830113259470964</v>
      </c>
      <c r="AZ21">
        <f t="shared" si="5"/>
        <v>0.86674932827051798</v>
      </c>
      <c r="BA21">
        <f t="shared" si="5"/>
        <v>0.86524356393089497</v>
      </c>
      <c r="BB21">
        <f t="shared" si="5"/>
        <v>0.94628610568428595</v>
      </c>
      <c r="BC21">
        <f t="shared" si="5"/>
        <v>0.95811317055047573</v>
      </c>
      <c r="BD21">
        <f t="shared" si="5"/>
        <v>1.0173238739481933</v>
      </c>
      <c r="BE21">
        <f t="shared" si="5"/>
        <v>1.0193142544044509</v>
      </c>
      <c r="BF21">
        <f t="shared" si="5"/>
        <v>1.3718144596453223</v>
      </c>
      <c r="BG21">
        <f t="shared" si="5"/>
        <v>1.3629869352951305</v>
      </c>
      <c r="BH21">
        <f>BH20/BH19</f>
        <v>1.6051144577668153</v>
      </c>
      <c r="BI21">
        <f t="shared" ref="BI21:CC21" si="6">BI20/BI19</f>
        <v>1.629360199765455</v>
      </c>
      <c r="BJ21">
        <f t="shared" si="6"/>
        <v>0.85020395774262092</v>
      </c>
      <c r="BK21">
        <f t="shared" si="6"/>
        <v>0.82873191118073697</v>
      </c>
      <c r="BL21">
        <f t="shared" si="6"/>
        <v>0.83752785522279183</v>
      </c>
      <c r="BM21">
        <f t="shared" si="6"/>
        <v>0.84718168305775254</v>
      </c>
      <c r="BN21">
        <f t="shared" si="6"/>
        <v>0.86538506574102747</v>
      </c>
      <c r="BO21">
        <f t="shared" si="6"/>
        <v>0.87766635558669104</v>
      </c>
      <c r="BP21">
        <f t="shared" si="6"/>
        <v>0.89255485403513157</v>
      </c>
      <c r="BQ21">
        <f t="shared" si="6"/>
        <v>0.87801357765757815</v>
      </c>
      <c r="BR21">
        <f t="shared" si="6"/>
        <v>1.0013738777567069</v>
      </c>
      <c r="BS21">
        <f t="shared" si="6"/>
        <v>1.0048102737261631</v>
      </c>
      <c r="BT21">
        <f t="shared" si="6"/>
        <v>1.0804635382517926</v>
      </c>
      <c r="BU21">
        <f t="shared" si="6"/>
        <v>1.0930773189009595</v>
      </c>
      <c r="BV21">
        <f t="shared" si="6"/>
        <v>0.84300436778074905</v>
      </c>
      <c r="BW21">
        <f t="shared" si="6"/>
        <v>0.80402383588965498</v>
      </c>
      <c r="BX21">
        <f t="shared" si="6"/>
        <v>0.82373797854347475</v>
      </c>
      <c r="BY21">
        <f t="shared" si="6"/>
        <v>0.82606417683228217</v>
      </c>
      <c r="BZ21">
        <f t="shared" si="6"/>
        <v>0.81867386095145533</v>
      </c>
      <c r="CA21">
        <f t="shared" si="6"/>
        <v>0.8295830389729123</v>
      </c>
      <c r="CB21">
        <f t="shared" si="6"/>
        <v>0.84179540271562292</v>
      </c>
      <c r="CC21">
        <f t="shared" si="6"/>
        <v>0.83761608136354659</v>
      </c>
      <c r="CD21">
        <f>CD20/CD19</f>
        <v>0.87756303694021798</v>
      </c>
      <c r="CE21">
        <f t="shared" ref="CE21:CS21" si="7">CE20/CE19</f>
        <v>0.85487157932277436</v>
      </c>
      <c r="CF21">
        <f t="shared" si="7"/>
        <v>0.9181173210762309</v>
      </c>
      <c r="CG21">
        <f t="shared" si="7"/>
        <v>0.90849691018969558</v>
      </c>
      <c r="CH21">
        <f t="shared" si="7"/>
        <v>0.7913320360021403</v>
      </c>
      <c r="CI21">
        <f t="shared" si="7"/>
        <v>0.78750183994591183</v>
      </c>
      <c r="CJ21">
        <f t="shared" si="7"/>
        <v>0.77465473009402719</v>
      </c>
      <c r="CK21">
        <f t="shared" si="7"/>
        <v>0.77775998037836713</v>
      </c>
      <c r="CL21">
        <f t="shared" si="7"/>
        <v>3.418940465763884</v>
      </c>
      <c r="CM21">
        <f t="shared" si="7"/>
        <v>3.4255945822471849</v>
      </c>
      <c r="CN21">
        <f t="shared" si="7"/>
        <v>3.4186736970679115</v>
      </c>
      <c r="CO21">
        <f t="shared" si="7"/>
        <v>0.8321970822880379</v>
      </c>
      <c r="CP21">
        <f t="shared" si="7"/>
        <v>3.55346078101734</v>
      </c>
      <c r="CQ21">
        <f t="shared" si="7"/>
        <v>3.592324961834346</v>
      </c>
      <c r="CR21">
        <f t="shared" si="7"/>
        <v>3.585834975724655</v>
      </c>
      <c r="CS21">
        <f t="shared" si="7"/>
        <v>3.5073390685256602</v>
      </c>
    </row>
    <row r="23" spans="1:97" x14ac:dyDescent="0.25">
      <c r="A23" s="9" t="s">
        <v>101</v>
      </c>
    </row>
    <row r="24" spans="1:9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</row>
    <row r="25" spans="1:97" ht="15.75" x14ac:dyDescent="0.25">
      <c r="A25" s="2"/>
      <c r="B25" s="3">
        <f>B21</f>
        <v>2.5208932491878446</v>
      </c>
      <c r="C25" s="3">
        <f t="shared" ref="C25:E25" si="8">C21</f>
        <v>2.274905792936067</v>
      </c>
      <c r="D25" s="3">
        <f t="shared" si="8"/>
        <v>2.0322536778340958</v>
      </c>
      <c r="E25" s="3">
        <f t="shared" si="8"/>
        <v>2.018952512964229</v>
      </c>
      <c r="F25" s="4">
        <f>F21</f>
        <v>1.9727258995818773</v>
      </c>
      <c r="G25" s="4">
        <f t="shared" ref="G25:I25" si="9">G21</f>
        <v>2.2608389079732416</v>
      </c>
      <c r="H25" s="4">
        <f t="shared" si="9"/>
        <v>2.0560733713103456</v>
      </c>
      <c r="I25" s="4">
        <f t="shared" si="9"/>
        <v>2.1651867152175921</v>
      </c>
      <c r="J25" s="5">
        <f>J21</f>
        <v>2.5603931962884459</v>
      </c>
      <c r="K25" s="5">
        <f t="shared" ref="K25:M25" si="10">K21</f>
        <v>2.431734998745259</v>
      </c>
      <c r="L25" s="5">
        <f t="shared" si="10"/>
        <v>2.700405887970768</v>
      </c>
      <c r="M25" s="5">
        <f t="shared" si="10"/>
        <v>2.5449822108678277</v>
      </c>
    </row>
    <row r="26" spans="1:97" ht="15.75" x14ac:dyDescent="0.25">
      <c r="A26" s="2"/>
      <c r="B26" s="3">
        <f>N21</f>
        <v>1.3213640823767803</v>
      </c>
      <c r="C26" s="3">
        <f t="shared" ref="C26:E26" si="11">O21</f>
        <v>0.99359843629159561</v>
      </c>
      <c r="D26" s="3">
        <f t="shared" si="11"/>
        <v>1.1018465811436979</v>
      </c>
      <c r="E26" s="3">
        <f t="shared" si="11"/>
        <v>1.0870024627717376</v>
      </c>
      <c r="F26" s="4">
        <f>R21</f>
        <v>1.6682701428658706</v>
      </c>
      <c r="G26" s="4">
        <f t="shared" ref="G26:I26" si="12">S21</f>
        <v>2.0917343842639418</v>
      </c>
      <c r="H26" s="4">
        <f t="shared" si="12"/>
        <v>1.9842126778311941</v>
      </c>
      <c r="I26" s="4">
        <f t="shared" si="12"/>
        <v>1.9419373469021965</v>
      </c>
      <c r="J26" s="5">
        <f>V21</f>
        <v>2.447125615555402</v>
      </c>
      <c r="K26" s="5">
        <f t="shared" ref="K26:M26" si="13">W21</f>
        <v>2.1354086017686544</v>
      </c>
      <c r="L26" s="5">
        <f t="shared" si="13"/>
        <v>2.4302035326613503</v>
      </c>
      <c r="M26" s="5">
        <f t="shared" si="13"/>
        <v>2.3565902351294561</v>
      </c>
    </row>
    <row r="27" spans="1:97" ht="15.75" x14ac:dyDescent="0.25">
      <c r="A27" s="2"/>
      <c r="B27" s="3">
        <f>Z21</f>
        <v>1.0821944412666911</v>
      </c>
      <c r="C27" s="3">
        <f t="shared" ref="C27:E27" si="14">AA21</f>
        <v>0.92554320735760909</v>
      </c>
      <c r="D27" s="3">
        <f t="shared" si="14"/>
        <v>0.97042576104597367</v>
      </c>
      <c r="E27" s="3">
        <f t="shared" si="14"/>
        <v>0.9740343535671897</v>
      </c>
      <c r="F27" s="4">
        <f>AD21</f>
        <v>1.891170947224005</v>
      </c>
      <c r="G27" s="4">
        <f t="shared" ref="G27:I27" si="15">AE21</f>
        <v>1.8902832227343138</v>
      </c>
      <c r="H27" s="4">
        <f t="shared" si="15"/>
        <v>1.9552195715459197</v>
      </c>
      <c r="I27" s="4">
        <f t="shared" si="15"/>
        <v>1.9134178830062663</v>
      </c>
      <c r="J27" s="5">
        <f>AH21</f>
        <v>1.7394978855658023</v>
      </c>
      <c r="K27" s="5">
        <f t="shared" ref="K27:M27" si="16">AI21</f>
        <v>1.6848227054625162</v>
      </c>
      <c r="L27" s="5">
        <f t="shared" si="16"/>
        <v>2.1856371938563721</v>
      </c>
      <c r="M27" s="5">
        <f t="shared" si="16"/>
        <v>1.8382643840567805</v>
      </c>
    </row>
    <row r="28" spans="1:97" ht="15.75" x14ac:dyDescent="0.25">
      <c r="A28" s="2"/>
      <c r="B28" s="3">
        <f>AL21</f>
        <v>0.96871028437367068</v>
      </c>
      <c r="C28" s="3">
        <f t="shared" ref="C28:E28" si="17">AM21</f>
        <v>0.89407439667981758</v>
      </c>
      <c r="D28" s="3">
        <f t="shared" si="17"/>
        <v>0.89955419809647219</v>
      </c>
      <c r="E28" s="3">
        <f t="shared" si="17"/>
        <v>0.90876798850451457</v>
      </c>
      <c r="F28" s="4">
        <f>AP21</f>
        <v>1.2400876858558902</v>
      </c>
      <c r="G28" s="4">
        <f t="shared" ref="G28:I28" si="18">AQ21</f>
        <v>1.2499237176726903</v>
      </c>
      <c r="H28" s="4">
        <f t="shared" si="18"/>
        <v>1.456774915672838</v>
      </c>
      <c r="I28" s="4">
        <f t="shared" si="18"/>
        <v>1.460454263800316</v>
      </c>
      <c r="J28" s="5">
        <f>AT21</f>
        <v>1.4543188898329085</v>
      </c>
      <c r="K28" s="5">
        <f t="shared" ref="K28:M28" si="19">AU21</f>
        <v>1.4622379304354798</v>
      </c>
      <c r="L28" s="5">
        <f t="shared" si="19"/>
        <v>1.713628343829555</v>
      </c>
      <c r="M28" s="5">
        <f t="shared" si="19"/>
        <v>1.6311709634160096</v>
      </c>
    </row>
    <row r="29" spans="1:97" ht="15.75" x14ac:dyDescent="0.25">
      <c r="A29" s="2"/>
      <c r="B29" s="3">
        <f>AX21</f>
        <v>0.89255072858504703</v>
      </c>
      <c r="C29" s="3">
        <f t="shared" ref="C29:E29" si="20">AY21</f>
        <v>0.85830113259470964</v>
      </c>
      <c r="D29" s="3">
        <f t="shared" si="20"/>
        <v>0.86674932827051798</v>
      </c>
      <c r="E29" s="3">
        <f t="shared" si="20"/>
        <v>0.86524356393089497</v>
      </c>
      <c r="F29" s="4">
        <f>BB21</f>
        <v>0.94628610568428595</v>
      </c>
      <c r="G29" s="4">
        <f t="shared" ref="G29:I29" si="21">BC21</f>
        <v>0.95811317055047573</v>
      </c>
      <c r="H29" s="4">
        <f t="shared" si="21"/>
        <v>1.0173238739481933</v>
      </c>
      <c r="I29" s="4">
        <f t="shared" si="21"/>
        <v>1.0193142544044509</v>
      </c>
      <c r="J29" s="5">
        <f>BF21</f>
        <v>1.3718144596453223</v>
      </c>
      <c r="K29" s="5">
        <f t="shared" ref="K29:M29" si="22">BG21</f>
        <v>1.3629869352951305</v>
      </c>
      <c r="L29" s="5">
        <f t="shared" si="22"/>
        <v>1.6051144577668153</v>
      </c>
      <c r="M29" s="5">
        <f t="shared" si="22"/>
        <v>1.629360199765455</v>
      </c>
    </row>
    <row r="30" spans="1:97" ht="15.75" x14ac:dyDescent="0.25">
      <c r="A30" s="6"/>
      <c r="B30" s="3">
        <f>BJ21</f>
        <v>0.85020395774262092</v>
      </c>
      <c r="C30" s="3">
        <f t="shared" ref="C30:E30" si="23">BK21</f>
        <v>0.82873191118073697</v>
      </c>
      <c r="D30" s="3">
        <f t="shared" si="23"/>
        <v>0.83752785522279183</v>
      </c>
      <c r="E30" s="3">
        <f t="shared" si="23"/>
        <v>0.84718168305775254</v>
      </c>
      <c r="F30" s="4">
        <f>BN21</f>
        <v>0.86538506574102747</v>
      </c>
      <c r="G30" s="4">
        <f t="shared" ref="G30:I30" si="24">BO21</f>
        <v>0.87766635558669104</v>
      </c>
      <c r="H30" s="4">
        <f t="shared" si="24"/>
        <v>0.89255485403513157</v>
      </c>
      <c r="I30" s="4">
        <f t="shared" si="24"/>
        <v>0.87801357765757815</v>
      </c>
      <c r="J30" s="5">
        <f>BR21</f>
        <v>1.0013738777567069</v>
      </c>
      <c r="K30" s="5">
        <f t="shared" ref="K30:M30" si="25">BS21</f>
        <v>1.0048102737261631</v>
      </c>
      <c r="L30" s="5">
        <f t="shared" si="25"/>
        <v>1.0804635382517926</v>
      </c>
      <c r="M30" s="5">
        <f t="shared" si="25"/>
        <v>1.0930773189009595</v>
      </c>
      <c r="R30">
        <v>72</v>
      </c>
      <c r="U30">
        <v>73</v>
      </c>
      <c r="X30" t="s">
        <v>106</v>
      </c>
    </row>
    <row r="31" spans="1:97" ht="16.5" thickBot="1" x14ac:dyDescent="0.3">
      <c r="A31" s="7"/>
      <c r="B31" s="3">
        <f>BV21</f>
        <v>0.84300436778074905</v>
      </c>
      <c r="C31" s="3">
        <f t="shared" ref="C31:E31" si="26">BW21</f>
        <v>0.80402383588965498</v>
      </c>
      <c r="D31" s="3">
        <f t="shared" si="26"/>
        <v>0.82373797854347475</v>
      </c>
      <c r="E31" s="3">
        <f t="shared" si="26"/>
        <v>0.82606417683228217</v>
      </c>
      <c r="F31" s="4">
        <f>BZ21</f>
        <v>0.81867386095145533</v>
      </c>
      <c r="G31" s="4">
        <f t="shared" ref="G31:I31" si="27">CA21</f>
        <v>0.8295830389729123</v>
      </c>
      <c r="H31" s="4">
        <f t="shared" si="27"/>
        <v>0.84179540271562292</v>
      </c>
      <c r="I31" s="4">
        <f t="shared" si="27"/>
        <v>0.83761608136354659</v>
      </c>
      <c r="J31" s="5">
        <f>CD21</f>
        <v>0.87756303694021798</v>
      </c>
      <c r="K31" s="5">
        <f t="shared" ref="K31:M31" si="28">CE21</f>
        <v>0.85487157932277436</v>
      </c>
      <c r="L31" s="5">
        <f t="shared" si="28"/>
        <v>0.9181173210762309</v>
      </c>
      <c r="M31" s="5">
        <f t="shared" si="28"/>
        <v>0.90849691018969558</v>
      </c>
      <c r="R31" t="s">
        <v>107</v>
      </c>
      <c r="S31" t="s">
        <v>108</v>
      </c>
      <c r="T31" t="s">
        <v>109</v>
      </c>
      <c r="U31" t="s">
        <v>107</v>
      </c>
      <c r="V31" t="s">
        <v>108</v>
      </c>
      <c r="W31" t="s">
        <v>109</v>
      </c>
      <c r="X31" t="s">
        <v>107</v>
      </c>
      <c r="Y31" t="s">
        <v>108</v>
      </c>
      <c r="Z31" t="s">
        <v>109</v>
      </c>
    </row>
    <row r="32" spans="1:97" ht="15.75" x14ac:dyDescent="0.25">
      <c r="A32" s="1"/>
      <c r="B32" s="3">
        <f>CH21</f>
        <v>0.7913320360021403</v>
      </c>
      <c r="C32" s="3">
        <f t="shared" ref="C32:E32" si="29">CI21</f>
        <v>0.78750183994591183</v>
      </c>
      <c r="D32" s="3">
        <f t="shared" si="29"/>
        <v>0.77465473009402719</v>
      </c>
      <c r="E32" s="3">
        <f t="shared" si="29"/>
        <v>0.77775998037836713</v>
      </c>
      <c r="F32" s="4">
        <f>CL21</f>
        <v>3.418940465763884</v>
      </c>
      <c r="G32" s="4">
        <f t="shared" ref="G32:I32" si="30">CM21</f>
        <v>3.4255945822471849</v>
      </c>
      <c r="H32" s="4">
        <f>CN21</f>
        <v>3.4186736970679115</v>
      </c>
      <c r="I32" s="29">
        <f t="shared" si="30"/>
        <v>0.8321970822880379</v>
      </c>
      <c r="J32" s="5">
        <f>CP21</f>
        <v>3.55346078101734</v>
      </c>
      <c r="K32" s="5">
        <f t="shared" ref="K32:M32" si="31">CQ21</f>
        <v>3.592324961834346</v>
      </c>
      <c r="L32" s="5">
        <f t="shared" si="31"/>
        <v>3.585834975724655</v>
      </c>
      <c r="M32" s="5">
        <f t="shared" si="31"/>
        <v>3.5073390685256602</v>
      </c>
      <c r="R32">
        <v>30</v>
      </c>
      <c r="S32">
        <f>AVERAGE(B40:E40)</f>
        <v>52.582903427157525</v>
      </c>
      <c r="T32">
        <f>STDEV(B40:E40)</f>
        <v>8.73266355378402</v>
      </c>
      <c r="U32" s="25">
        <v>10</v>
      </c>
      <c r="V32">
        <f>AVERAGE(F40:I40)</f>
        <v>48.974985498070772</v>
      </c>
      <c r="W32">
        <f>STDEV(F40:I40)</f>
        <v>4.6301531384403303</v>
      </c>
      <c r="X32" s="25">
        <v>15</v>
      </c>
      <c r="Y32">
        <f>AVERAGE(J40:M40)</f>
        <v>65.375104592174125</v>
      </c>
      <c r="Z32">
        <f>STDEV(J40:M40)</f>
        <v>4.052849253756813</v>
      </c>
    </row>
    <row r="33" spans="1:26" ht="15.75" x14ac:dyDescent="0.25">
      <c r="R33">
        <v>20</v>
      </c>
      <c r="S33">
        <f t="shared" ref="S33:S38" si="32">AVERAGE(B41:E41)</f>
        <v>12.627085246441052</v>
      </c>
      <c r="T33">
        <f t="shared" ref="T33:T38" si="33">STDEV(B41:E41)</f>
        <v>5.1078683607724678</v>
      </c>
      <c r="U33" s="26">
        <f>U32*0.8</f>
        <v>8</v>
      </c>
      <c r="V33">
        <f t="shared" ref="V33:V38" si="34">AVERAGE(F41:I41)</f>
        <v>41.903495077462296</v>
      </c>
      <c r="W33">
        <f t="shared" ref="W33:W38" si="35">STDEV(F41:I41)</f>
        <v>6.632446289528187</v>
      </c>
      <c r="X33" s="26">
        <f>X32*0.8</f>
        <v>12</v>
      </c>
      <c r="Y33">
        <f t="shared" ref="Y33:Y38" si="36">AVERAGE(J41:M41)</f>
        <v>57.388084706728186</v>
      </c>
      <c r="Z33">
        <f t="shared" ref="Z33:Z38" si="37">STDEV(J41:M41)</f>
        <v>5.2783254664557555</v>
      </c>
    </row>
    <row r="34" spans="1:26" ht="15.75" x14ac:dyDescent="0.25">
      <c r="A34" t="s">
        <v>99</v>
      </c>
      <c r="C34" s="3">
        <f>AVERAGE(F32,G32,H32,J32,K32,L32,M32)</f>
        <v>3.5003097903115687</v>
      </c>
      <c r="G34" s="4"/>
      <c r="K34" s="5"/>
      <c r="R34">
        <v>13.333333333333334</v>
      </c>
      <c r="S34">
        <f t="shared" si="32"/>
        <v>7.5524368780804707</v>
      </c>
      <c r="T34">
        <f t="shared" si="33"/>
        <v>2.4480795363565102</v>
      </c>
      <c r="U34" s="26">
        <f>U33*0.8</f>
        <v>6.4</v>
      </c>
      <c r="V34">
        <f t="shared" si="34"/>
        <v>41.57172912877585</v>
      </c>
      <c r="W34">
        <f t="shared" si="35"/>
        <v>1.1190465456221381</v>
      </c>
      <c r="X34" s="26">
        <f>X33*0.8</f>
        <v>9.6000000000000014</v>
      </c>
      <c r="Y34">
        <f t="shared" si="36"/>
        <v>39.714602812249417</v>
      </c>
      <c r="Z34">
        <f t="shared" si="37"/>
        <v>8.2749852217684499</v>
      </c>
    </row>
    <row r="35" spans="1:26" ht="15.75" x14ac:dyDescent="0.25">
      <c r="R35">
        <v>8.8888888888888893</v>
      </c>
      <c r="S35">
        <f t="shared" si="32"/>
        <v>4.9665018338130338</v>
      </c>
      <c r="T35">
        <f t="shared" si="33"/>
        <v>1.2692828625964747</v>
      </c>
      <c r="U35" s="27">
        <f>U34/2</f>
        <v>3.2</v>
      </c>
      <c r="V35">
        <f t="shared" si="34"/>
        <v>20.938306992209668</v>
      </c>
      <c r="W35">
        <f t="shared" si="35"/>
        <v>4.5410029138238635</v>
      </c>
      <c r="X35" s="26">
        <f>X34*0.8</f>
        <v>7.6800000000000015</v>
      </c>
      <c r="Y35">
        <f t="shared" si="36"/>
        <v>28.795862512913544</v>
      </c>
      <c r="Z35">
        <f t="shared" si="37"/>
        <v>4.716290818052463</v>
      </c>
    </row>
    <row r="36" spans="1:26" ht="15.75" x14ac:dyDescent="0.25">
      <c r="A36" t="s">
        <v>100</v>
      </c>
      <c r="C36" s="3">
        <f>AVERAGE(B32:E32)</f>
        <v>0.78281214660511156</v>
      </c>
      <c r="G36" s="8"/>
      <c r="K36" s="5"/>
      <c r="R36">
        <v>5.9259259259259265</v>
      </c>
      <c r="S36">
        <f t="shared" si="32"/>
        <v>3.2345581584495258</v>
      </c>
      <c r="T36">
        <f t="shared" si="33"/>
        <v>0.55261842706815634</v>
      </c>
      <c r="U36" s="27">
        <f t="shared" ref="U36:U38" si="38">U35/2</f>
        <v>1.6</v>
      </c>
      <c r="V36">
        <f t="shared" si="34"/>
        <v>7.4497655963232976</v>
      </c>
      <c r="W36">
        <f t="shared" si="35"/>
        <v>1.4162584541375807</v>
      </c>
      <c r="X36" s="26">
        <f>X35*0.8</f>
        <v>6.1440000000000019</v>
      </c>
      <c r="Y36">
        <f t="shared" si="36"/>
        <v>26.108830973827693</v>
      </c>
      <c r="Z36">
        <f t="shared" si="37"/>
        <v>5.3220791374079672</v>
      </c>
    </row>
    <row r="37" spans="1:26" ht="15.75" x14ac:dyDescent="0.25">
      <c r="R37">
        <v>3.9506172839506175</v>
      </c>
      <c r="S37">
        <f t="shared" si="32"/>
        <v>2.1379670863898586</v>
      </c>
      <c r="T37">
        <f t="shared" si="33"/>
        <v>0.358955068752633</v>
      </c>
      <c r="U37" s="27">
        <f t="shared" si="38"/>
        <v>0.8</v>
      </c>
      <c r="V37">
        <f t="shared" si="34"/>
        <v>3.5176779958349575</v>
      </c>
      <c r="W37">
        <f t="shared" si="35"/>
        <v>0.40890903817071717</v>
      </c>
      <c r="X37" s="27">
        <f t="shared" ref="X37:X38" si="39">X36/2</f>
        <v>3.072000000000001</v>
      </c>
      <c r="Y37">
        <f t="shared" si="36"/>
        <v>9.6456056240138519</v>
      </c>
      <c r="Z37">
        <f t="shared" si="37"/>
        <v>1.7886175776056308</v>
      </c>
    </row>
    <row r="38" spans="1:26" ht="15.75" x14ac:dyDescent="0.25">
      <c r="R38">
        <v>2.6337448559670782</v>
      </c>
      <c r="S38">
        <f t="shared" si="32"/>
        <v>1.5232926973201892</v>
      </c>
      <c r="T38">
        <f t="shared" si="33"/>
        <v>0.58738395593084891</v>
      </c>
      <c r="U38" s="27">
        <f t="shared" si="38"/>
        <v>0.4</v>
      </c>
      <c r="V38">
        <f t="shared" si="34"/>
        <v>1.8069914249786567</v>
      </c>
      <c r="W38">
        <f t="shared" si="35"/>
        <v>0.37460528855523723</v>
      </c>
      <c r="X38" s="27">
        <f t="shared" si="39"/>
        <v>1.5360000000000005</v>
      </c>
      <c r="Y38">
        <f t="shared" si="36"/>
        <v>3.9356083904914261</v>
      </c>
      <c r="Z38">
        <f t="shared" si="37"/>
        <v>1.0667726828290289</v>
      </c>
    </row>
    <row r="39" spans="1:26" x14ac:dyDescent="0.25">
      <c r="A39" s="9" t="s">
        <v>102</v>
      </c>
    </row>
    <row r="40" spans="1:26" ht="15.75" x14ac:dyDescent="0.25">
      <c r="A40" s="2"/>
      <c r="B40" s="3">
        <f>(B25-$C$36)/($C$34-$C$36)*100</f>
        <v>63.958881679548561</v>
      </c>
      <c r="C40" s="3">
        <f t="shared" ref="C40:M47" si="40">(C25-$C$36)/($C$34-$C$36)*100</f>
        <v>54.906897519729029</v>
      </c>
      <c r="D40" s="3">
        <f t="shared" si="40"/>
        <v>45.977649111218454</v>
      </c>
      <c r="E40" s="3">
        <f t="shared" si="40"/>
        <v>45.488185398134043</v>
      </c>
      <c r="F40" s="8">
        <f t="shared" si="40"/>
        <v>43.787112593548194</v>
      </c>
      <c r="G40" s="8">
        <f t="shared" si="40"/>
        <v>54.389256409886542</v>
      </c>
      <c r="H40" s="8">
        <f t="shared" si="40"/>
        <v>46.854179529981266</v>
      </c>
      <c r="I40" s="8">
        <f t="shared" si="40"/>
        <v>50.869393458867115</v>
      </c>
      <c r="J40" s="5">
        <f t="shared" si="40"/>
        <v>65.412422851592638</v>
      </c>
      <c r="K40" s="5">
        <f t="shared" si="40"/>
        <v>60.677986454153611</v>
      </c>
      <c r="L40" s="5">
        <f t="shared" si="40"/>
        <v>70.564688282496775</v>
      </c>
      <c r="M40" s="5">
        <f t="shared" si="40"/>
        <v>64.845320780453449</v>
      </c>
    </row>
    <row r="41" spans="1:26" ht="15.75" x14ac:dyDescent="0.25">
      <c r="A41" s="2"/>
      <c r="B41" s="3">
        <f t="shared" ref="B41:F47" si="41">(B26-$C$36)/($C$34-$C$36)*100</f>
        <v>19.817935703418875</v>
      </c>
      <c r="C41" s="3">
        <f t="shared" si="41"/>
        <v>7.7566319210855976</v>
      </c>
      <c r="D41" s="3">
        <f t="shared" si="41"/>
        <v>11.740007770658009</v>
      </c>
      <c r="E41" s="3">
        <f t="shared" si="41"/>
        <v>11.193765590601725</v>
      </c>
      <c r="F41" s="8">
        <f t="shared" si="41"/>
        <v>32.583579172972627</v>
      </c>
      <c r="G41" s="8">
        <f t="shared" si="40"/>
        <v>48.166453453610409</v>
      </c>
      <c r="H41" s="8">
        <f t="shared" si="40"/>
        <v>44.209809491774386</v>
      </c>
      <c r="I41" s="8">
        <f t="shared" si="40"/>
        <v>42.654138191491775</v>
      </c>
      <c r="J41" s="5">
        <f t="shared" si="40"/>
        <v>61.244338989758809</v>
      </c>
      <c r="K41" s="5">
        <f t="shared" si="40"/>
        <v>49.773601765435416</v>
      </c>
      <c r="L41" s="5">
        <f t="shared" si="40"/>
        <v>60.621630707628647</v>
      </c>
      <c r="M41" s="5">
        <f t="shared" si="40"/>
        <v>57.912767364089881</v>
      </c>
    </row>
    <row r="42" spans="1:26" ht="15.75" x14ac:dyDescent="0.25">
      <c r="A42" s="2"/>
      <c r="B42" s="3">
        <f t="shared" si="41"/>
        <v>11.016837322929382</v>
      </c>
      <c r="C42" s="3">
        <f t="shared" si="41"/>
        <v>5.2522974981433057</v>
      </c>
      <c r="D42" s="3">
        <f t="shared" si="41"/>
        <v>6.9039108414817836</v>
      </c>
      <c r="E42" s="3">
        <f t="shared" si="41"/>
        <v>7.0367018497674128</v>
      </c>
      <c r="F42" s="8">
        <f t="shared" si="41"/>
        <v>40.786007788664627</v>
      </c>
      <c r="G42" s="8">
        <f t="shared" si="40"/>
        <v>40.753340805797251</v>
      </c>
      <c r="H42" s="8">
        <f t="shared" si="40"/>
        <v>43.142904931528655</v>
      </c>
      <c r="I42" s="8">
        <f t="shared" si="40"/>
        <v>41.604662989112875</v>
      </c>
      <c r="J42" s="5">
        <f t="shared" si="40"/>
        <v>35.204657533974718</v>
      </c>
      <c r="K42" s="5">
        <f t="shared" si="40"/>
        <v>33.192689640279937</v>
      </c>
      <c r="L42" s="5">
        <f t="shared" si="40"/>
        <v>51.621941623394221</v>
      </c>
      <c r="M42" s="5">
        <f t="shared" si="40"/>
        <v>38.839122451348786</v>
      </c>
    </row>
    <row r="43" spans="1:26" ht="15.75" x14ac:dyDescent="0.25">
      <c r="A43" s="2"/>
      <c r="B43" s="3">
        <f t="shared" si="41"/>
        <v>6.8407837702853858</v>
      </c>
      <c r="C43" s="3">
        <f t="shared" si="41"/>
        <v>4.0942905813508963</v>
      </c>
      <c r="D43" s="3">
        <f t="shared" si="41"/>
        <v>4.2959393823846508</v>
      </c>
      <c r="E43" s="3">
        <f t="shared" si="41"/>
        <v>4.6349936012312032</v>
      </c>
      <c r="F43" s="8">
        <f>(F28-$C$36)/($C$34-$C$36)*100</f>
        <v>16.827081352206442</v>
      </c>
      <c r="G43" s="8">
        <f t="shared" si="40"/>
        <v>17.189033158846627</v>
      </c>
      <c r="H43" s="8">
        <f t="shared" si="40"/>
        <v>24.800859372539996</v>
      </c>
      <c r="I43" s="8">
        <f t="shared" si="40"/>
        <v>24.936254085245601</v>
      </c>
      <c r="J43" s="5">
        <f t="shared" si="40"/>
        <v>24.710481158390756</v>
      </c>
      <c r="K43" s="5">
        <f t="shared" si="40"/>
        <v>25.001890448879426</v>
      </c>
      <c r="L43" s="5">
        <f t="shared" si="40"/>
        <v>34.252695651094726</v>
      </c>
      <c r="M43" s="5">
        <f t="shared" si="40"/>
        <v>31.218382793289273</v>
      </c>
    </row>
    <row r="44" spans="1:26" ht="15.75" x14ac:dyDescent="0.25">
      <c r="A44" s="2"/>
      <c r="B44" s="3">
        <f t="shared" si="41"/>
        <v>4.0382217895968626</v>
      </c>
      <c r="C44" s="3">
        <f t="shared" si="41"/>
        <v>2.7778859777275433</v>
      </c>
      <c r="D44" s="3">
        <f t="shared" si="41"/>
        <v>3.0887674129101574</v>
      </c>
      <c r="E44" s="3">
        <f t="shared" si="41"/>
        <v>3.0333574535635406</v>
      </c>
      <c r="F44" s="8">
        <f t="shared" si="41"/>
        <v>6.0156062860907769</v>
      </c>
      <c r="G44" s="8">
        <f t="shared" si="40"/>
        <v>6.4508252417936633</v>
      </c>
      <c r="H44" s="8">
        <f t="shared" si="40"/>
        <v>8.6296938614167811</v>
      </c>
      <c r="I44" s="8">
        <f t="shared" si="40"/>
        <v>8.7029369959919709</v>
      </c>
      <c r="J44" s="5">
        <f t="shared" si="40"/>
        <v>21.674436936653862</v>
      </c>
      <c r="K44" s="5">
        <f t="shared" si="40"/>
        <v>21.349596752500041</v>
      </c>
      <c r="L44" s="5">
        <f t="shared" si="40"/>
        <v>30.259540907647182</v>
      </c>
      <c r="M44" s="5">
        <f t="shared" si="40"/>
        <v>31.151749298509678</v>
      </c>
    </row>
    <row r="45" spans="1:26" ht="15.75" x14ac:dyDescent="0.25">
      <c r="A45" s="6"/>
      <c r="B45" s="3">
        <f t="shared" si="41"/>
        <v>2.4799216033759692</v>
      </c>
      <c r="C45" s="3">
        <f t="shared" si="41"/>
        <v>1.6897812103709644</v>
      </c>
      <c r="D45" s="3">
        <f t="shared" si="41"/>
        <v>2.0134592846620563</v>
      </c>
      <c r="E45" s="3">
        <f t="shared" si="41"/>
        <v>2.3687062471504445</v>
      </c>
      <c r="F45" s="8">
        <f t="shared" si="41"/>
        <v>3.0385645164090302</v>
      </c>
      <c r="G45" s="8">
        <f t="shared" si="40"/>
        <v>3.4904982972572394</v>
      </c>
      <c r="H45" s="8">
        <f t="shared" si="40"/>
        <v>4.0383736002191863</v>
      </c>
      <c r="I45" s="8">
        <f t="shared" si="40"/>
        <v>3.5032755694543742</v>
      </c>
      <c r="J45" s="5">
        <f t="shared" si="40"/>
        <v>8.0427569701033494</v>
      </c>
      <c r="K45" s="5">
        <f t="shared" si="40"/>
        <v>8.1692113932530646</v>
      </c>
      <c r="L45" s="5">
        <f t="shared" si="40"/>
        <v>10.953142584539927</v>
      </c>
      <c r="M45" s="5">
        <f t="shared" si="40"/>
        <v>11.417311548159068</v>
      </c>
    </row>
    <row r="46" spans="1:26" ht="16.5" thickBot="1" x14ac:dyDescent="0.3">
      <c r="A46" s="7"/>
      <c r="B46" s="3">
        <f t="shared" si="41"/>
        <v>2.2149870604318149</v>
      </c>
      <c r="C46" s="3">
        <f t="shared" si="41"/>
        <v>0.78055962012214719</v>
      </c>
      <c r="D46" s="3">
        <f t="shared" si="41"/>
        <v>1.5060116807513955</v>
      </c>
      <c r="E46" s="3">
        <f t="shared" si="41"/>
        <v>1.5916124279753994</v>
      </c>
      <c r="F46" s="8">
        <f t="shared" si="41"/>
        <v>1.3196594458654678</v>
      </c>
      <c r="G46" s="8">
        <f t="shared" si="40"/>
        <v>1.7211014874702466</v>
      </c>
      <c r="H46" s="8">
        <f t="shared" si="40"/>
        <v>2.1704988869857034</v>
      </c>
      <c r="I46" s="8">
        <f t="shared" si="40"/>
        <v>2.0167058795932089</v>
      </c>
      <c r="J46" s="5">
        <f t="shared" si="40"/>
        <v>3.4866963198493708</v>
      </c>
      <c r="K46" s="5">
        <f t="shared" si="40"/>
        <v>2.651683355992879</v>
      </c>
      <c r="L46" s="5">
        <f t="shared" si="40"/>
        <v>4.9790355765156624</v>
      </c>
      <c r="M46" s="5">
        <f t="shared" si="40"/>
        <v>4.6250183096077935</v>
      </c>
    </row>
    <row r="47" spans="1:26" x14ac:dyDescent="0.25">
      <c r="A47" s="1"/>
      <c r="B47" s="3">
        <f t="shared" si="41"/>
        <v>0.31351966088214428</v>
      </c>
      <c r="C47" s="3">
        <f t="shared" si="41"/>
        <v>0.17257396162463243</v>
      </c>
      <c r="D47" s="3">
        <f t="shared" si="41"/>
        <v>-0.30018118065259047</v>
      </c>
      <c r="E47" s="3">
        <f t="shared" si="41"/>
        <v>-0.18591244185417805</v>
      </c>
      <c r="F47" s="8">
        <f t="shared" si="41"/>
        <v>97.005726031221016</v>
      </c>
      <c r="G47" s="8">
        <f t="shared" si="40"/>
        <v>97.250587935653996</v>
      </c>
      <c r="H47" s="8">
        <f t="shared" si="40"/>
        <v>96.995909327365155</v>
      </c>
      <c r="I47" s="29">
        <f t="shared" si="40"/>
        <v>1.8172945171561989</v>
      </c>
      <c r="J47" s="5">
        <f t="shared" si="40"/>
        <v>101.95587991875045</v>
      </c>
      <c r="K47" s="5">
        <f t="shared" si="40"/>
        <v>103.38602580708316</v>
      </c>
      <c r="L47" s="5">
        <f t="shared" si="40"/>
        <v>103.14720366404575</v>
      </c>
      <c r="M47" s="5">
        <f t="shared" si="40"/>
        <v>100.25866731588052</v>
      </c>
    </row>
  </sheetData>
  <mergeCells count="6">
    <mergeCell ref="B3:E3"/>
    <mergeCell ref="F3:I3"/>
    <mergeCell ref="J3:M3"/>
    <mergeCell ref="B12:E12"/>
    <mergeCell ref="F12:I12"/>
    <mergeCell ref="J12:M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A1 POPG</vt:lpstr>
      <vt:lpstr>Plate A2 POPG</vt:lpstr>
      <vt:lpstr>Plate B1 POPE-POPG</vt:lpstr>
      <vt:lpstr>Plate B2 POPE-POPG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Haynes, Cally</dc:creator>
  <cp:lastModifiedBy>Thomas Allam</cp:lastModifiedBy>
  <dcterms:created xsi:type="dcterms:W3CDTF">2025-09-10T12:47:32Z</dcterms:created>
  <dcterms:modified xsi:type="dcterms:W3CDTF">2025-11-23T20:11:25Z</dcterms:modified>
</cp:coreProperties>
</file>